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dcp-my.sharepoint.com/personal/wellington_bezerra_alfaparfdbdc_com_br/Documents/Documentos/REAJUSTE/"/>
    </mc:Choice>
  </mc:AlternateContent>
  <xr:revisionPtr revIDLastSave="10" documentId="13_ncr:1_{6B74C74D-78E4-498A-B815-4B2A4B93176D}" xr6:coauthVersionLast="47" xr6:coauthVersionMax="47" xr10:uidLastSave="{DA0B1F0D-DF28-4666-9BD3-88AFA8ABE1E8}"/>
  <bookViews>
    <workbookView xWindow="-108" yWindow="-108" windowWidth="23256" windowHeight="12456" xr2:uid="{E4C5E84C-CB14-488A-8C30-E98A17D3B1FD}"/>
  </bookViews>
  <sheets>
    <sheet name="TABELA DE PREÇOS" sheetId="1" r:id="rId1"/>
  </sheets>
  <definedNames>
    <definedName name="_xlnm._FilterDatabase" localSheetId="0" hidden="1">'TABELA DE PREÇOS'!$B$4:$Q$92</definedName>
    <definedName name="_xlnm.Print_Area" localSheetId="0">'TABELA DE PREÇOS'!$B$1:$O$92</definedName>
    <definedName name="_xlnm.Print_Titles" localSheetId="0">'TABELA DE PREÇOS'!$1:$4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1" l="1"/>
  <c r="M92" i="1"/>
  <c r="O6" i="1"/>
  <c r="O5" i="1"/>
  <c r="O33" i="1"/>
  <c r="O40" i="1"/>
  <c r="O38" i="1" l="1"/>
  <c r="O25" i="1"/>
  <c r="O44" i="1"/>
  <c r="O45" i="1"/>
  <c r="O8" i="1"/>
  <c r="O62" i="1" l="1"/>
  <c r="O61" i="1"/>
  <c r="O28" i="1"/>
  <c r="O27" i="1"/>
  <c r="O91" i="1"/>
  <c r="O90" i="1"/>
  <c r="O89" i="1"/>
  <c r="O88" i="1"/>
  <c r="O87" i="1"/>
  <c r="O84" i="1"/>
  <c r="O85" i="1"/>
  <c r="O82" i="1"/>
  <c r="O86" i="1"/>
  <c r="O83" i="1"/>
  <c r="O81" i="1"/>
  <c r="O78" i="1"/>
  <c r="O80" i="1"/>
  <c r="O79" i="1"/>
  <c r="O67" i="1"/>
  <c r="O68" i="1"/>
  <c r="O69" i="1"/>
  <c r="O65" i="1"/>
  <c r="O66" i="1"/>
  <c r="O77" i="1"/>
  <c r="O70" i="1"/>
  <c r="O71" i="1"/>
  <c r="O76" i="1"/>
  <c r="O72" i="1"/>
  <c r="O73" i="1"/>
  <c r="O59" i="1"/>
  <c r="O60" i="1"/>
  <c r="O74" i="1"/>
  <c r="O75" i="1"/>
  <c r="O64" i="1"/>
  <c r="O63" i="1"/>
  <c r="O48" i="1"/>
  <c r="O53" i="1"/>
  <c r="O54" i="1"/>
  <c r="O55" i="1"/>
  <c r="O52" i="1"/>
  <c r="O51" i="1"/>
  <c r="O50" i="1"/>
  <c r="O49" i="1"/>
  <c r="O58" i="1"/>
  <c r="O57" i="1"/>
  <c r="O56" i="1"/>
  <c r="O46" i="1"/>
  <c r="O42" i="1"/>
  <c r="O35" i="1"/>
  <c r="O34" i="1"/>
  <c r="O36" i="1"/>
  <c r="O41" i="1"/>
  <c r="O39" i="1"/>
  <c r="O37" i="1"/>
  <c r="O43" i="1"/>
  <c r="O31" i="1"/>
  <c r="O30" i="1"/>
  <c r="O29" i="1"/>
  <c r="O32" i="1"/>
  <c r="O26" i="1"/>
  <c r="O12" i="1"/>
  <c r="O13" i="1"/>
  <c r="O11" i="1"/>
  <c r="O10" i="1"/>
  <c r="O9" i="1"/>
  <c r="O24" i="1"/>
  <c r="O7" i="1"/>
  <c r="O14" i="1"/>
  <c r="O23" i="1"/>
  <c r="O19" i="1"/>
  <c r="O18" i="1"/>
  <c r="O17" i="1"/>
  <c r="O15" i="1"/>
  <c r="O16" i="1"/>
  <c r="O22" i="1"/>
  <c r="O21" i="1"/>
  <c r="O20" i="1"/>
  <c r="O92" i="1" l="1"/>
</calcChain>
</file>

<file path=xl/sharedStrings.xml><?xml version="1.0" encoding="utf-8"?>
<sst xmlns="http://schemas.openxmlformats.org/spreadsheetml/2006/main" count="715" uniqueCount="309">
  <si>
    <t>TABELA DE PREÇOS RAAVI | DEPIL BELLA</t>
  </si>
  <si>
    <t>MARCA</t>
  </si>
  <si>
    <t>CÓDIGO</t>
  </si>
  <si>
    <t>CÓD. ALFAPARF</t>
  </si>
  <si>
    <t>EAN 13</t>
  </si>
  <si>
    <t>GRUPO</t>
  </si>
  <si>
    <t>FAMILIA</t>
  </si>
  <si>
    <t>DESCRIÇÃO</t>
  </si>
  <si>
    <t>UNIDADE</t>
  </si>
  <si>
    <t>CAIXA DE EMBARQUE PADRÃO</t>
  </si>
  <si>
    <t>MULTIPLOS DE VENDAS</t>
  </si>
  <si>
    <t>QTDE</t>
  </si>
  <si>
    <t>PREÇO UNITÁRIO COM DESCONTO</t>
  </si>
  <si>
    <t>PREÇO TOTAL</t>
  </si>
  <si>
    <t>RAAVI</t>
  </si>
  <si>
    <t>PA2819</t>
  </si>
  <si>
    <t>PF030680</t>
  </si>
  <si>
    <t>AUTOCUIDADO</t>
  </si>
  <si>
    <t>FACIAL USO DIÁRIO</t>
  </si>
  <si>
    <t xml:space="preserve">Sérum Clareador Ácido Mandélico </t>
  </si>
  <si>
    <t>30ml</t>
  </si>
  <si>
    <t>PA2821</t>
  </si>
  <si>
    <t>PF030961</t>
  </si>
  <si>
    <t xml:space="preserve">Sérum Clareador Glicólico </t>
  </si>
  <si>
    <t>PA2820</t>
  </si>
  <si>
    <t>PF030679</t>
  </si>
  <si>
    <t xml:space="preserve">Sérum Clareador Alpha-Arbutin </t>
  </si>
  <si>
    <t>PA2801</t>
  </si>
  <si>
    <t>PF030693</t>
  </si>
  <si>
    <t>Serum Uniformizador Facil Niacinamida</t>
  </si>
  <si>
    <t>PA2800</t>
  </si>
  <si>
    <t>PF030694</t>
  </si>
  <si>
    <t>PA2798</t>
  </si>
  <si>
    <t>PF030695</t>
  </si>
  <si>
    <t>Serum Concentrado Facial Nano Retinol</t>
  </si>
  <si>
    <t>PA2799</t>
  </si>
  <si>
    <t>PF030696</t>
  </si>
  <si>
    <t>PA2770</t>
  </si>
  <si>
    <t>PF030699</t>
  </si>
  <si>
    <t>Serum Facial Vitamina C 10</t>
  </si>
  <si>
    <t>30g</t>
  </si>
  <si>
    <t>PA2791</t>
  </si>
  <si>
    <t>PF030697</t>
  </si>
  <si>
    <t>Serum Fácial Antissinais Ácido Hialurônico</t>
  </si>
  <si>
    <t>PA2794</t>
  </si>
  <si>
    <t>PF030702</t>
  </si>
  <si>
    <t>Serum Facial Controle da Oleosidade</t>
  </si>
  <si>
    <t>PA2815</t>
  </si>
  <si>
    <t>PF030712</t>
  </si>
  <si>
    <t xml:space="preserve">Água Hidratante Facial </t>
  </si>
  <si>
    <t>120ml</t>
  </si>
  <si>
    <t>200ml</t>
  </si>
  <si>
    <t>PA2778</t>
  </si>
  <si>
    <t>PF030705</t>
  </si>
  <si>
    <t>Hidratante Multifuncional FPS 30</t>
  </si>
  <si>
    <t>40g</t>
  </si>
  <si>
    <t>PA2826</t>
  </si>
  <si>
    <t>PF030685</t>
  </si>
  <si>
    <t>100g</t>
  </si>
  <si>
    <t>PA2828</t>
  </si>
  <si>
    <t>PF030687</t>
  </si>
  <si>
    <t>PA2827</t>
  </si>
  <si>
    <t>PF030686</t>
  </si>
  <si>
    <t>PA2792</t>
  </si>
  <si>
    <t>PF030700</t>
  </si>
  <si>
    <t>Tônico Adstringente Facial Controle da Oleosidade</t>
  </si>
  <si>
    <t>PA2793</t>
  </si>
  <si>
    <t>PF030701</t>
  </si>
  <si>
    <t>Sabonete Liquido Facial Controle da Oleosidade</t>
  </si>
  <si>
    <t>150ml</t>
  </si>
  <si>
    <t>PA2829</t>
  </si>
  <si>
    <t>PF030688</t>
  </si>
  <si>
    <t>CORPORAL USO DIÁRIO</t>
  </si>
  <si>
    <t>220g</t>
  </si>
  <si>
    <t>PA2830</t>
  </si>
  <si>
    <t>PF030692</t>
  </si>
  <si>
    <t>200g</t>
  </si>
  <si>
    <t>PA2833</t>
  </si>
  <si>
    <t>PF030689</t>
  </si>
  <si>
    <t>PA2831</t>
  </si>
  <si>
    <t>PF030690</t>
  </si>
  <si>
    <t>PA2832</t>
  </si>
  <si>
    <t>PF030691</t>
  </si>
  <si>
    <t>PA2788</t>
  </si>
  <si>
    <t>PF030748</t>
  </si>
  <si>
    <t>Hidratante Corporal Pele Negra</t>
  </si>
  <si>
    <t>PA2787</t>
  </si>
  <si>
    <t>PF030747</t>
  </si>
  <si>
    <t>Hidratante Corporal Diabet Hidra</t>
  </si>
  <si>
    <t>PA2461</t>
  </si>
  <si>
    <t>PF030752</t>
  </si>
  <si>
    <t>Creme Hidratante de Uréia 3%</t>
  </si>
  <si>
    <t>PA2462</t>
  </si>
  <si>
    <t>PF030754</t>
  </si>
  <si>
    <t>Creme Hidratante de Uréia 10%</t>
  </si>
  <si>
    <t>PA2600</t>
  </si>
  <si>
    <t>PF030755</t>
  </si>
  <si>
    <t>Loção Hidratante Uréia 10%</t>
  </si>
  <si>
    <t>PA2677</t>
  </si>
  <si>
    <t>PF030753</t>
  </si>
  <si>
    <t>Creme Hidratante Uréia Pés 3%</t>
  </si>
  <si>
    <t>PA2783</t>
  </si>
  <si>
    <t>PF030751</t>
  </si>
  <si>
    <t>Esfoliante de Arroz</t>
  </si>
  <si>
    <t>PA2460</t>
  </si>
  <si>
    <t>PF030750</t>
  </si>
  <si>
    <t xml:space="preserve">Esfoliante de Arroz </t>
  </si>
  <si>
    <t>PA2750</t>
  </si>
  <si>
    <t>PF030708</t>
  </si>
  <si>
    <t xml:space="preserve">Creme Corporal Firmador Q10 </t>
  </si>
  <si>
    <t>240g</t>
  </si>
  <si>
    <t>PA2532</t>
  </si>
  <si>
    <t>PF030739</t>
  </si>
  <si>
    <t>Gel Redutor Termogênico Pimenta Preta Cafeina</t>
  </si>
  <si>
    <t>PA2822</t>
  </si>
  <si>
    <t>PF030681</t>
  </si>
  <si>
    <t>PROFISSIONAL</t>
  </si>
  <si>
    <t>Máscara Facial Revitalizante Diamente Rosa</t>
  </si>
  <si>
    <t>110g</t>
  </si>
  <si>
    <t>PA2823</t>
  </si>
  <si>
    <t>PF030683</t>
  </si>
  <si>
    <t>Máscara Facial Rejuvenescedora Ouro</t>
  </si>
  <si>
    <t>PA2824</t>
  </si>
  <si>
    <t>PF030682</t>
  </si>
  <si>
    <t>Máscara Facial Purificante Carvão Ativado</t>
  </si>
  <si>
    <t>PA2825</t>
  </si>
  <si>
    <t>PF030684</t>
  </si>
  <si>
    <t>Sabonete Ácido Glicólico 10%</t>
  </si>
  <si>
    <t>250ml</t>
  </si>
  <si>
    <t>PA2802</t>
  </si>
  <si>
    <t>PF030714</t>
  </si>
  <si>
    <t>Sabonete Suavizante Facial</t>
  </si>
  <si>
    <t>500ml</t>
  </si>
  <si>
    <t>PA2803</t>
  </si>
  <si>
    <t>PF030715</t>
  </si>
  <si>
    <t xml:space="preserve">Creme Esfoliante Facial </t>
  </si>
  <si>
    <t>PA2805</t>
  </si>
  <si>
    <t>PF030716</t>
  </si>
  <si>
    <t xml:space="preserve">Loção Emoliente Facial </t>
  </si>
  <si>
    <t>PA2804</t>
  </si>
  <si>
    <t>PF030717</t>
  </si>
  <si>
    <t>PA2807</t>
  </si>
  <si>
    <t>PF030718</t>
  </si>
  <si>
    <t xml:space="preserve">Mascara Calmante Facial </t>
  </si>
  <si>
    <t>PA2806</t>
  </si>
  <si>
    <t>PF030719</t>
  </si>
  <si>
    <t>Creme Amolecedor De Cravos Facial</t>
  </si>
  <si>
    <t>PA2814</t>
  </si>
  <si>
    <t>PF030720</t>
  </si>
  <si>
    <t xml:space="preserve">Kit Clear Skin Limpeza De Pele </t>
  </si>
  <si>
    <t xml:space="preserve">KIT </t>
  </si>
  <si>
    <t>PA2796</t>
  </si>
  <si>
    <t>PF030722</t>
  </si>
  <si>
    <t>CREME DE MASSAGEM</t>
  </si>
  <si>
    <t>Creme de Massagem Corporal Oléos Essenciais</t>
  </si>
  <si>
    <t>1kg</t>
  </si>
  <si>
    <t>PA2797</t>
  </si>
  <si>
    <t>PF030721</t>
  </si>
  <si>
    <t>500g</t>
  </si>
  <si>
    <t>PA2789</t>
  </si>
  <si>
    <t>PF030725</t>
  </si>
  <si>
    <t>Creme Massagem Cafeina e Curcuma</t>
  </si>
  <si>
    <t>PA2790</t>
  </si>
  <si>
    <t>PF030726</t>
  </si>
  <si>
    <t>PA2769</t>
  </si>
  <si>
    <t>PF030759</t>
  </si>
  <si>
    <t>Creme Massagem Neutro</t>
  </si>
  <si>
    <t>PA2465</t>
  </si>
  <si>
    <t>PF030760</t>
  </si>
  <si>
    <t>PA2784</t>
  </si>
  <si>
    <t>PF030731</t>
  </si>
  <si>
    <t>Creme Massagem Detox</t>
  </si>
  <si>
    <t>PA2785</t>
  </si>
  <si>
    <t>PF030732</t>
  </si>
  <si>
    <t>PA2625</t>
  </si>
  <si>
    <t>PF030709</t>
  </si>
  <si>
    <t>Creme Massagem Nano Redutor</t>
  </si>
  <si>
    <t>1Kg</t>
  </si>
  <si>
    <t>PA2469</t>
  </si>
  <si>
    <t>PF030738</t>
  </si>
  <si>
    <t>Creme Massagem de Pimenta Preta</t>
  </si>
  <si>
    <t>PA2468</t>
  </si>
  <si>
    <t>PF030737</t>
  </si>
  <si>
    <t>PA2591</t>
  </si>
  <si>
    <t>PF030727</t>
  </si>
  <si>
    <t>Creme Massagem Q-10 + Colágeno Vegetal</t>
  </si>
  <si>
    <t>PA2605</t>
  </si>
  <si>
    <t>PF030745</t>
  </si>
  <si>
    <t>Creme Drenagem Linfatica</t>
  </si>
  <si>
    <t>PA2606</t>
  </si>
  <si>
    <t>PF030746</t>
  </si>
  <si>
    <t>PA2456</t>
  </si>
  <si>
    <t>PF030744</t>
  </si>
  <si>
    <t xml:space="preserve">Creme De Massagem Relaxante </t>
  </si>
  <si>
    <t>PA2817</t>
  </si>
  <si>
    <t>PF030707</t>
  </si>
  <si>
    <t>PA2471</t>
  </si>
  <si>
    <t>PF030756</t>
  </si>
  <si>
    <t>Creme de Massagem Arnica</t>
  </si>
  <si>
    <t>PA2458</t>
  </si>
  <si>
    <t>PF030749</t>
  </si>
  <si>
    <t>ESFOLIANTES</t>
  </si>
  <si>
    <t>PA2786</t>
  </si>
  <si>
    <t>PF030733</t>
  </si>
  <si>
    <t>Creme Esfoliante Detox Alta abrasão</t>
  </si>
  <si>
    <t>PA2463</t>
  </si>
  <si>
    <t>PF030757</t>
  </si>
  <si>
    <t>Creme Esfoliante Neutro Media abrasão</t>
  </si>
  <si>
    <t>ARGILAS</t>
  </si>
  <si>
    <t>400g</t>
  </si>
  <si>
    <t>PA2455</t>
  </si>
  <si>
    <t>PF030742</t>
  </si>
  <si>
    <t xml:space="preserve">Argila Preta </t>
  </si>
  <si>
    <t>PA2772</t>
  </si>
  <si>
    <t>PF030736</t>
  </si>
  <si>
    <t>OUTROS</t>
  </si>
  <si>
    <t>Spray Fluido Potencializador Crioterápico</t>
  </si>
  <si>
    <t>300ml</t>
  </si>
  <si>
    <t>PA2533</t>
  </si>
  <si>
    <t>PF030740</t>
  </si>
  <si>
    <t>Fluido Lipotérmico Pimenta Preta e Nicotinato</t>
  </si>
  <si>
    <t>300 ml</t>
  </si>
  <si>
    <t>PA2675</t>
  </si>
  <si>
    <t>PF030730</t>
  </si>
  <si>
    <t>Loção Higienizante</t>
  </si>
  <si>
    <t>PA2445</t>
  </si>
  <si>
    <t>PF030734</t>
  </si>
  <si>
    <t>Gel Redutor Crioterápico</t>
  </si>
  <si>
    <t>PA2446</t>
  </si>
  <si>
    <t>PF030735</t>
  </si>
  <si>
    <t>PA2464</t>
  </si>
  <si>
    <t>PF030758</t>
  </si>
  <si>
    <t xml:space="preserve">Gel de Contato Neutro </t>
  </si>
  <si>
    <t>PA2450</t>
  </si>
  <si>
    <t>PF030729</t>
  </si>
  <si>
    <t>Gel de Contato 08 Ativos</t>
  </si>
  <si>
    <t>PA2795</t>
  </si>
  <si>
    <t>PF030723</t>
  </si>
  <si>
    <t>Óleo Vegetal Massagem Corporal Oleos Essenciais</t>
  </si>
  <si>
    <t>180ml</t>
  </si>
  <si>
    <t>PA2466</t>
  </si>
  <si>
    <t>PF030761</t>
  </si>
  <si>
    <t>Oleo Massagem Neutro</t>
  </si>
  <si>
    <t>1L</t>
  </si>
  <si>
    <t>PA2818</t>
  </si>
  <si>
    <t>PF030706</t>
  </si>
  <si>
    <t xml:space="preserve">Óleo De Massagem Neutro </t>
  </si>
  <si>
    <t>TOTAL RAAVI</t>
  </si>
  <si>
    <t>Esfoliante Corporal E Facial Amora</t>
  </si>
  <si>
    <t>Esfoliante Corporal E Facial Morango</t>
  </si>
  <si>
    <t>Esfoliante Corporal E Facial Melancia</t>
  </si>
  <si>
    <t>Creme Hidratante Facial Nutritivo</t>
  </si>
  <si>
    <t>Creme Hidratante Facial Noturno</t>
  </si>
  <si>
    <t>Gel Hidratante Facial Refrescante</t>
  </si>
  <si>
    <t>Loção Desodorante Pernas Cansadas</t>
  </si>
  <si>
    <t>Serum Preenchedor Facial Ác Hialurônico</t>
  </si>
  <si>
    <t>Serum Iluminador Facial Nano Vit C</t>
  </si>
  <si>
    <t>Loção Tonica Adstringente Facial</t>
  </si>
  <si>
    <t>Creme Esfoliante Detox Média abrasão</t>
  </si>
  <si>
    <t>PA2838</t>
  </si>
  <si>
    <t>PA2839</t>
  </si>
  <si>
    <t>PA2837</t>
  </si>
  <si>
    <t>PA2836</t>
  </si>
  <si>
    <t>PF030965</t>
  </si>
  <si>
    <t>PF030964</t>
  </si>
  <si>
    <t>7898212288551</t>
  </si>
  <si>
    <t>PF030963</t>
  </si>
  <si>
    <t>PF030962</t>
  </si>
  <si>
    <t>NCM</t>
  </si>
  <si>
    <t>3307.20.90</t>
  </si>
  <si>
    <t>3307.20.10</t>
  </si>
  <si>
    <t>3304.99.90</t>
  </si>
  <si>
    <t xml:space="preserve">3307.20.90 </t>
  </si>
  <si>
    <t>3401.30.00</t>
  </si>
  <si>
    <t>Creme Massagem Ultradeslizante</t>
  </si>
  <si>
    <t>Esfoliante Corporal E Facial Abacaxi com Hortelã</t>
  </si>
  <si>
    <t>Esfoliante Corporal E Facial Maçã Verde</t>
  </si>
  <si>
    <t>Bumbum Magic</t>
  </si>
  <si>
    <t>PA2843</t>
  </si>
  <si>
    <t>PF032267</t>
  </si>
  <si>
    <t>450g</t>
  </si>
  <si>
    <t>PA2845</t>
  </si>
  <si>
    <t>PF032275</t>
  </si>
  <si>
    <t>PA2844</t>
  </si>
  <si>
    <t>PF032274</t>
  </si>
  <si>
    <t>PA2846</t>
  </si>
  <si>
    <t>PF032273</t>
  </si>
  <si>
    <t>PA2835</t>
  </si>
  <si>
    <t>PF032272</t>
  </si>
  <si>
    <t>PA2834</t>
  </si>
  <si>
    <t>PF032271</t>
  </si>
  <si>
    <t>CORPORAL TRATAMENTO</t>
  </si>
  <si>
    <t>FACIAL TRATAMENTO</t>
  </si>
  <si>
    <t>PA2842</t>
  </si>
  <si>
    <t>PA2841</t>
  </si>
  <si>
    <t>PF032268</t>
  </si>
  <si>
    <t>PF032269</t>
  </si>
  <si>
    <t>Sabonete Líquido Facial Rosa Mosqueta &amp; Vitamina C - Lançamento</t>
  </si>
  <si>
    <t>Creme Hidratante Facial Uniformizador</t>
  </si>
  <si>
    <t>Gel Redutor Shape Magic</t>
  </si>
  <si>
    <t>Hidratante Corporal Hialuronico</t>
  </si>
  <si>
    <t>Hidratante Corporal Niacinamnida</t>
  </si>
  <si>
    <t>Tônico Facial Rosa Mosqueta &amp; Vitamina C - Lançamento</t>
  </si>
  <si>
    <t>7898212288629</t>
  </si>
  <si>
    <t>200 ml</t>
  </si>
  <si>
    <t>PA2840</t>
  </si>
  <si>
    <t>PF030966</t>
  </si>
  <si>
    <t>Creme De Massagem Facial - Lançamento</t>
  </si>
  <si>
    <t>MAIO_2026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</si>
</sst>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;[Red]0.00"/>
    <numFmt numFmtId="165" formatCode="0;[Red]0"/>
    <numFmt numFmtId="166" formatCode="#,##0.000"/>
  </numFmts>
  <fonts count="1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Century Gothic"/>
      <family val="2"/>
    </font>
    <font>
      <b/>
      <sz val="16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8"/>
      <color theme="1" tint="4.9989318521683403E-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theme="5" tint="-0.249977111117893"/>
      <name val="Century Gothic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1" applyFont="1" applyFill="1"/>
    <xf numFmtId="0" fontId="2" fillId="0" borderId="0" xfId="1" applyFont="1"/>
    <xf numFmtId="0" fontId="5" fillId="0" borderId="0" xfId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5" fillId="2" borderId="0" xfId="1" applyFont="1" applyFill="1"/>
    <xf numFmtId="0" fontId="6" fillId="0" borderId="4" xfId="1" applyFont="1" applyBorder="1" applyAlignment="1">
      <alignment horizontal="center" vertical="center" wrapText="1"/>
    </xf>
    <xf numFmtId="1" fontId="6" fillId="0" borderId="4" xfId="1" applyNumberFormat="1" applyFont="1" applyBorder="1" applyAlignment="1">
      <alignment horizontal="center" vertical="center" wrapText="1"/>
    </xf>
    <xf numFmtId="164" fontId="6" fillId="0" borderId="4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1" fontId="2" fillId="0" borderId="5" xfId="1" applyNumberFormat="1" applyFont="1" applyBorder="1" applyAlignment="1">
      <alignment horizontal="center" vertical="center"/>
    </xf>
    <xf numFmtId="3" fontId="5" fillId="3" borderId="5" xfId="1" applyNumberFormat="1" applyFont="1" applyFill="1" applyBorder="1" applyAlignment="1">
      <alignment horizontal="center" vertical="center"/>
    </xf>
    <xf numFmtId="4" fontId="2" fillId="3" borderId="5" xfId="1" applyNumberFormat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0" fontId="2" fillId="2" borderId="4" xfId="1" applyFont="1" applyFill="1" applyBorder="1" applyAlignment="1">
      <alignment vertical="center"/>
    </xf>
    <xf numFmtId="4" fontId="2" fillId="3" borderId="4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Continuous"/>
    </xf>
    <xf numFmtId="0" fontId="2" fillId="2" borderId="0" xfId="1" applyFont="1" applyFill="1" applyAlignment="1">
      <alignment horizontal="center"/>
    </xf>
    <xf numFmtId="165" fontId="7" fillId="3" borderId="4" xfId="1" applyNumberFormat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top"/>
    </xf>
    <xf numFmtId="1" fontId="2" fillId="3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center" vertical="top"/>
    </xf>
    <xf numFmtId="0" fontId="2" fillId="0" borderId="0" xfId="1" applyFont="1" applyAlignment="1">
      <alignment horizontal="center" vertical="top"/>
    </xf>
    <xf numFmtId="1" fontId="2" fillId="2" borderId="0" xfId="1" applyNumberFormat="1" applyFont="1" applyFill="1"/>
    <xf numFmtId="0" fontId="2" fillId="0" borderId="0" xfId="1" applyFont="1" applyAlignment="1">
      <alignment horizontal="center"/>
    </xf>
    <xf numFmtId="4" fontId="2" fillId="2" borderId="0" xfId="1" applyNumberFormat="1" applyFont="1" applyFill="1" applyAlignment="1">
      <alignment horizontal="center"/>
    </xf>
    <xf numFmtId="43" fontId="2" fillId="2" borderId="0" xfId="2" applyFont="1" applyFill="1" applyAlignment="1">
      <alignment horizontal="center"/>
    </xf>
    <xf numFmtId="3" fontId="2" fillId="2" borderId="0" xfId="1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4" fontId="5" fillId="0" borderId="0" xfId="1" applyNumberFormat="1" applyFont="1" applyAlignment="1">
      <alignment vertical="center"/>
    </xf>
    <xf numFmtId="4" fontId="6" fillId="0" borderId="4" xfId="1" applyNumberFormat="1" applyFont="1" applyBorder="1" applyAlignment="1">
      <alignment horizontal="center" vertical="center" wrapText="1"/>
    </xf>
    <xf numFmtId="4" fontId="7" fillId="3" borderId="4" xfId="1" applyNumberFormat="1" applyFont="1" applyFill="1" applyBorder="1" applyAlignment="1">
      <alignment horizontal="center" vertical="center"/>
    </xf>
    <xf numFmtId="4" fontId="2" fillId="3" borderId="0" xfId="1" applyNumberFormat="1" applyFont="1" applyFill="1" applyAlignment="1">
      <alignment horizontal="center" vertical="top"/>
    </xf>
    <xf numFmtId="0" fontId="3" fillId="0" borderId="0" xfId="1" applyFont="1" applyAlignment="1">
      <alignment horizontal="centerContinuous" vertical="center"/>
    </xf>
    <xf numFmtId="49" fontId="4" fillId="3" borderId="0" xfId="1" applyNumberFormat="1" applyFont="1" applyFill="1" applyAlignment="1">
      <alignment horizontal="centerContinuous" vertical="center"/>
    </xf>
    <xf numFmtId="164" fontId="6" fillId="0" borderId="0" xfId="1" applyNumberFormat="1" applyFont="1" applyAlignment="1">
      <alignment horizontal="center" vertical="center" wrapText="1"/>
    </xf>
    <xf numFmtId="4" fontId="2" fillId="3" borderId="0" xfId="1" applyNumberFormat="1" applyFont="1" applyFill="1" applyAlignment="1">
      <alignment horizontal="center" vertical="center"/>
    </xf>
    <xf numFmtId="4" fontId="8" fillId="3" borderId="0" xfId="1" applyNumberFormat="1" applyFont="1" applyFill="1" applyAlignment="1">
      <alignment horizontal="center" vertical="center"/>
    </xf>
    <xf numFmtId="4" fontId="7" fillId="3" borderId="0" xfId="1" applyNumberFormat="1" applyFont="1" applyFill="1" applyAlignment="1">
      <alignment horizontal="center" vertical="center"/>
    </xf>
    <xf numFmtId="3" fontId="2" fillId="3" borderId="5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 vertical="center"/>
    </xf>
    <xf numFmtId="0" fontId="8" fillId="2" borderId="4" xfId="1" applyFont="1" applyFill="1" applyBorder="1" applyAlignment="1">
      <alignment vertical="center"/>
    </xf>
    <xf numFmtId="3" fontId="8" fillId="3" borderId="5" xfId="1" applyNumberFormat="1" applyFont="1" applyFill="1" applyBorder="1" applyAlignment="1">
      <alignment horizontal="center" vertical="center"/>
    </xf>
    <xf numFmtId="4" fontId="8" fillId="3" borderId="4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4" fillId="3" borderId="2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</cellXfs>
  <cellStyles count="3">
    <cellStyle name="Normal" xfId="0" builtinId="0"/>
    <cellStyle name="Normal 3" xfId="1" xr:uid="{ED297D4E-8FA5-4D11-86E1-29C6C06B32E6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55C7-56BB-4E58-B974-3D03A0D8EFC3}">
  <sheetPr>
    <pageSetUpPr fitToPage="1"/>
  </sheetPr>
  <dimension ref="B1:P101"/>
  <sheetViews>
    <sheetView showGridLines="0" tabSelected="1" topLeftCell="D18" zoomScale="80" zoomScaleNormal="80" zoomScaleSheetLayoutView="80" workbookViewId="0">
      <selection activeCell="D36" sqref="D36"/>
    </sheetView>
  </sheetViews>
  <sheetFormatPr defaultColWidth="14.44140625" defaultRowHeight="15.75" customHeight="1" x14ac:dyDescent="0.25"/>
  <cols>
    <col min="1" max="1" width="4.6640625" style="1" customWidth="1"/>
    <col min="2" max="2" width="17.6640625" style="1" customWidth="1"/>
    <col min="3" max="3" width="18" style="1" customWidth="1"/>
    <col min="4" max="4" width="19.5546875" style="1" bestFit="1" customWidth="1"/>
    <col min="5" max="5" width="22.109375" style="25" bestFit="1" customWidth="1"/>
    <col min="6" max="7" width="17.6640625" style="25" customWidth="1"/>
    <col min="8" max="8" width="27.33203125" style="25" customWidth="1"/>
    <col min="9" max="9" width="70.109375" style="1" bestFit="1" customWidth="1"/>
    <col min="10" max="10" width="11.6640625" style="19" customWidth="1"/>
    <col min="11" max="11" width="12.6640625" style="19" customWidth="1"/>
    <col min="12" max="12" width="11.88671875" style="26" customWidth="1"/>
    <col min="13" max="13" width="9.6640625" style="19" customWidth="1"/>
    <col min="14" max="14" width="18.6640625" style="27" bestFit="1" customWidth="1"/>
    <col min="15" max="15" width="13.109375" style="19" customWidth="1"/>
    <col min="16" max="16" width="2.33203125" style="19" customWidth="1"/>
    <col min="17" max="16384" width="14.44140625" style="1"/>
  </cols>
  <sheetData>
    <row r="1" spans="2:16" ht="28.95" customHeight="1" x14ac:dyDescent="0.25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35"/>
    </row>
    <row r="2" spans="2:16" ht="15" x14ac:dyDescent="0.25">
      <c r="B2" s="47" t="s">
        <v>308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  <c r="P2" s="36"/>
    </row>
    <row r="3" spans="2:16" s="2" customFormat="1" ht="15.75" customHeight="1" x14ac:dyDescent="0.25">
      <c r="C3" s="3"/>
      <c r="D3" s="3"/>
      <c r="E3" s="4"/>
      <c r="F3" s="4"/>
      <c r="G3" s="4"/>
      <c r="H3" s="4"/>
      <c r="I3" s="3"/>
      <c r="J3" s="3"/>
      <c r="K3" s="3"/>
      <c r="L3" s="3"/>
      <c r="M3" s="3"/>
      <c r="N3" s="31"/>
      <c r="O3" s="3"/>
      <c r="P3" s="3"/>
    </row>
    <row r="4" spans="2:16" s="5" customFormat="1" ht="40.950000000000003" customHeight="1" x14ac:dyDescent="0.2">
      <c r="B4" s="6" t="s">
        <v>1</v>
      </c>
      <c r="C4" s="6" t="s">
        <v>2</v>
      </c>
      <c r="D4" s="6" t="s">
        <v>3</v>
      </c>
      <c r="E4" s="7" t="s">
        <v>4</v>
      </c>
      <c r="F4" s="7" t="s">
        <v>268</v>
      </c>
      <c r="G4" s="7" t="s">
        <v>5</v>
      </c>
      <c r="H4" s="7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7" t="s">
        <v>11</v>
      </c>
      <c r="N4" s="32" t="s">
        <v>12</v>
      </c>
      <c r="O4" s="8" t="s">
        <v>13</v>
      </c>
      <c r="P4" s="37"/>
    </row>
    <row r="5" spans="2:16" s="5" customFormat="1" ht="17.7" customHeight="1" x14ac:dyDescent="0.2">
      <c r="B5" s="13" t="s">
        <v>14</v>
      </c>
      <c r="C5" s="13" t="s">
        <v>293</v>
      </c>
      <c r="D5" s="13" t="s">
        <v>295</v>
      </c>
      <c r="E5" s="14">
        <v>7898212288629</v>
      </c>
      <c r="F5" s="14" t="s">
        <v>270</v>
      </c>
      <c r="G5" s="14" t="s">
        <v>17</v>
      </c>
      <c r="H5" s="14" t="s">
        <v>18</v>
      </c>
      <c r="I5" s="15" t="s">
        <v>297</v>
      </c>
      <c r="J5" s="13" t="s">
        <v>304</v>
      </c>
      <c r="K5" s="13">
        <v>8</v>
      </c>
      <c r="L5" s="13">
        <v>4</v>
      </c>
      <c r="M5" s="41"/>
      <c r="N5" s="16">
        <v>22.06</v>
      </c>
      <c r="O5" s="16">
        <f t="shared" ref="O5:O36" si="0">M5*N5</f>
        <v>0</v>
      </c>
      <c r="P5" s="38"/>
    </row>
    <row r="6" spans="2:16" s="5" customFormat="1" ht="17.7" customHeight="1" x14ac:dyDescent="0.2">
      <c r="B6" s="13" t="s">
        <v>14</v>
      </c>
      <c r="C6" s="13" t="s">
        <v>294</v>
      </c>
      <c r="D6" s="13" t="s">
        <v>296</v>
      </c>
      <c r="E6" s="14" t="s">
        <v>303</v>
      </c>
      <c r="F6" s="14" t="s">
        <v>273</v>
      </c>
      <c r="G6" s="14" t="s">
        <v>17</v>
      </c>
      <c r="H6" s="14" t="s">
        <v>18</v>
      </c>
      <c r="I6" s="15" t="s">
        <v>302</v>
      </c>
      <c r="J6" s="13" t="s">
        <v>304</v>
      </c>
      <c r="K6" s="13">
        <v>8</v>
      </c>
      <c r="L6" s="13">
        <v>4</v>
      </c>
      <c r="M6" s="41"/>
      <c r="N6" s="16">
        <v>22.06</v>
      </c>
      <c r="O6" s="16">
        <f t="shared" si="0"/>
        <v>0</v>
      </c>
      <c r="P6" s="38"/>
    </row>
    <row r="7" spans="2:16" s="5" customFormat="1" ht="17.7" customHeight="1" x14ac:dyDescent="0.2">
      <c r="B7" s="13" t="s">
        <v>14</v>
      </c>
      <c r="C7" s="13" t="s">
        <v>47</v>
      </c>
      <c r="D7" s="13" t="s">
        <v>48</v>
      </c>
      <c r="E7" s="14">
        <v>7898212287820</v>
      </c>
      <c r="F7" s="14" t="s">
        <v>269</v>
      </c>
      <c r="G7" s="14" t="s">
        <v>17</v>
      </c>
      <c r="H7" s="14" t="s">
        <v>18</v>
      </c>
      <c r="I7" s="15" t="s">
        <v>49</v>
      </c>
      <c r="J7" s="13" t="s">
        <v>50</v>
      </c>
      <c r="K7" s="13">
        <v>6</v>
      </c>
      <c r="L7" s="13">
        <v>3</v>
      </c>
      <c r="M7" s="11"/>
      <c r="N7" s="16">
        <v>21.4</v>
      </c>
      <c r="O7" s="16">
        <f t="shared" si="0"/>
        <v>0</v>
      </c>
      <c r="P7" s="38"/>
    </row>
    <row r="8" spans="2:16" s="5" customFormat="1" ht="17.7" customHeight="1" x14ac:dyDescent="0.2">
      <c r="B8" s="13" t="s">
        <v>14</v>
      </c>
      <c r="C8" s="13" t="s">
        <v>278</v>
      </c>
      <c r="D8" s="13" t="s">
        <v>279</v>
      </c>
      <c r="E8" s="14">
        <v>7898212288650</v>
      </c>
      <c r="F8" s="14" t="s">
        <v>269</v>
      </c>
      <c r="G8" s="14" t="s">
        <v>17</v>
      </c>
      <c r="H8" s="14" t="s">
        <v>18</v>
      </c>
      <c r="I8" s="15" t="s">
        <v>298</v>
      </c>
      <c r="J8" s="13" t="s">
        <v>58</v>
      </c>
      <c r="K8" s="13">
        <v>6</v>
      </c>
      <c r="L8" s="13">
        <v>3</v>
      </c>
      <c r="M8" s="11"/>
      <c r="N8" s="16">
        <v>21.3</v>
      </c>
      <c r="O8" s="16">
        <f t="shared" si="0"/>
        <v>0</v>
      </c>
      <c r="P8" s="39"/>
    </row>
    <row r="9" spans="2:16" s="5" customFormat="1" ht="17.7" customHeight="1" x14ac:dyDescent="0.2">
      <c r="B9" s="13" t="s">
        <v>14</v>
      </c>
      <c r="C9" s="13" t="s">
        <v>56</v>
      </c>
      <c r="D9" s="13" t="s">
        <v>57</v>
      </c>
      <c r="E9" s="14">
        <v>7898212288278</v>
      </c>
      <c r="F9" s="14" t="s">
        <v>269</v>
      </c>
      <c r="G9" s="14" t="s">
        <v>17</v>
      </c>
      <c r="H9" s="14" t="s">
        <v>18</v>
      </c>
      <c r="I9" s="15" t="s">
        <v>251</v>
      </c>
      <c r="J9" s="13" t="s">
        <v>58</v>
      </c>
      <c r="K9" s="13">
        <v>6</v>
      </c>
      <c r="L9" s="13">
        <v>3</v>
      </c>
      <c r="M9" s="11"/>
      <c r="N9" s="16">
        <v>21.3</v>
      </c>
      <c r="O9" s="16">
        <f t="shared" si="0"/>
        <v>0</v>
      </c>
      <c r="P9" s="38"/>
    </row>
    <row r="10" spans="2:16" s="5" customFormat="1" ht="17.7" customHeight="1" x14ac:dyDescent="0.2">
      <c r="B10" s="13" t="s">
        <v>14</v>
      </c>
      <c r="C10" s="13" t="s">
        <v>59</v>
      </c>
      <c r="D10" s="13" t="s">
        <v>60</v>
      </c>
      <c r="E10" s="14">
        <v>7898212288292</v>
      </c>
      <c r="F10" s="14" t="s">
        <v>269</v>
      </c>
      <c r="G10" s="14" t="s">
        <v>17</v>
      </c>
      <c r="H10" s="14" t="s">
        <v>18</v>
      </c>
      <c r="I10" s="15" t="s">
        <v>252</v>
      </c>
      <c r="J10" s="13" t="s">
        <v>58</v>
      </c>
      <c r="K10" s="13">
        <v>6</v>
      </c>
      <c r="L10" s="13">
        <v>3</v>
      </c>
      <c r="M10" s="11"/>
      <c r="N10" s="16">
        <v>21.3</v>
      </c>
      <c r="O10" s="16">
        <f t="shared" si="0"/>
        <v>0</v>
      </c>
      <c r="P10" s="38"/>
    </row>
    <row r="11" spans="2:16" s="5" customFormat="1" ht="17.7" customHeight="1" x14ac:dyDescent="0.2">
      <c r="B11" s="13" t="s">
        <v>14</v>
      </c>
      <c r="C11" s="13" t="s">
        <v>61</v>
      </c>
      <c r="D11" s="13" t="s">
        <v>62</v>
      </c>
      <c r="E11" s="14">
        <v>7898212288285</v>
      </c>
      <c r="F11" s="14" t="s">
        <v>269</v>
      </c>
      <c r="G11" s="14" t="s">
        <v>17</v>
      </c>
      <c r="H11" s="14" t="s">
        <v>18</v>
      </c>
      <c r="I11" s="15" t="s">
        <v>253</v>
      </c>
      <c r="J11" s="13" t="s">
        <v>58</v>
      </c>
      <c r="K11" s="13">
        <v>6</v>
      </c>
      <c r="L11" s="13">
        <v>3</v>
      </c>
      <c r="M11" s="11"/>
      <c r="N11" s="16">
        <v>21.3</v>
      </c>
      <c r="O11" s="16">
        <f t="shared" si="0"/>
        <v>0</v>
      </c>
      <c r="P11" s="38"/>
    </row>
    <row r="12" spans="2:16" s="5" customFormat="1" ht="17.7" customHeight="1" x14ac:dyDescent="0.2">
      <c r="B12" s="13" t="s">
        <v>14</v>
      </c>
      <c r="C12" s="13" t="s">
        <v>66</v>
      </c>
      <c r="D12" s="13" t="s">
        <v>67</v>
      </c>
      <c r="E12" s="14">
        <v>7898212287530</v>
      </c>
      <c r="F12" s="14" t="s">
        <v>273</v>
      </c>
      <c r="G12" s="14" t="s">
        <v>17</v>
      </c>
      <c r="H12" s="14" t="s">
        <v>18</v>
      </c>
      <c r="I12" s="15" t="s">
        <v>68</v>
      </c>
      <c r="J12" s="13" t="s">
        <v>69</v>
      </c>
      <c r="K12" s="13">
        <v>8</v>
      </c>
      <c r="L12" s="13">
        <v>4</v>
      </c>
      <c r="M12" s="11"/>
      <c r="N12" s="16">
        <v>21.08</v>
      </c>
      <c r="O12" s="16">
        <f t="shared" si="0"/>
        <v>0</v>
      </c>
      <c r="P12" s="38"/>
    </row>
    <row r="13" spans="2:16" s="5" customFormat="1" ht="17.7" customHeight="1" x14ac:dyDescent="0.2">
      <c r="B13" s="13" t="s">
        <v>14</v>
      </c>
      <c r="C13" s="13" t="s">
        <v>63</v>
      </c>
      <c r="D13" s="13" t="s">
        <v>64</v>
      </c>
      <c r="E13" s="14">
        <v>7898212287523</v>
      </c>
      <c r="F13" s="14" t="s">
        <v>270</v>
      </c>
      <c r="G13" s="14" t="s">
        <v>17</v>
      </c>
      <c r="H13" s="14" t="s">
        <v>18</v>
      </c>
      <c r="I13" s="15" t="s">
        <v>65</v>
      </c>
      <c r="J13" s="13" t="s">
        <v>51</v>
      </c>
      <c r="K13" s="13">
        <v>8</v>
      </c>
      <c r="L13" s="13">
        <v>4</v>
      </c>
      <c r="M13" s="11"/>
      <c r="N13" s="16">
        <v>21.08</v>
      </c>
      <c r="O13" s="16">
        <f t="shared" si="0"/>
        <v>0</v>
      </c>
      <c r="P13" s="38"/>
    </row>
    <row r="14" spans="2:16" s="5" customFormat="1" ht="17.7" customHeight="1" x14ac:dyDescent="0.2">
      <c r="B14" s="13" t="s">
        <v>14</v>
      </c>
      <c r="C14" s="13" t="s">
        <v>44</v>
      </c>
      <c r="D14" s="13" t="s">
        <v>45</v>
      </c>
      <c r="E14" s="14">
        <v>7898212287547</v>
      </c>
      <c r="F14" s="14" t="s">
        <v>269</v>
      </c>
      <c r="G14" s="14" t="s">
        <v>17</v>
      </c>
      <c r="H14" s="14" t="s">
        <v>18</v>
      </c>
      <c r="I14" s="15" t="s">
        <v>46</v>
      </c>
      <c r="J14" s="13" t="s">
        <v>40</v>
      </c>
      <c r="K14" s="13">
        <v>6</v>
      </c>
      <c r="L14" s="13">
        <v>3</v>
      </c>
      <c r="M14" s="11"/>
      <c r="N14" s="16">
        <v>25.85</v>
      </c>
      <c r="O14" s="16">
        <f t="shared" si="0"/>
        <v>0</v>
      </c>
      <c r="P14" s="38"/>
    </row>
    <row r="15" spans="2:16" s="5" customFormat="1" ht="17.7" customHeight="1" x14ac:dyDescent="0.2">
      <c r="B15" s="13" t="s">
        <v>14</v>
      </c>
      <c r="C15" s="13" t="s">
        <v>30</v>
      </c>
      <c r="D15" s="13" t="s">
        <v>31</v>
      </c>
      <c r="E15" s="14">
        <v>7898212287622</v>
      </c>
      <c r="F15" s="14" t="s">
        <v>269</v>
      </c>
      <c r="G15" s="14" t="s">
        <v>17</v>
      </c>
      <c r="H15" s="14" t="s">
        <v>18</v>
      </c>
      <c r="I15" s="15" t="s">
        <v>255</v>
      </c>
      <c r="J15" s="13" t="s">
        <v>20</v>
      </c>
      <c r="K15" s="13">
        <v>6</v>
      </c>
      <c r="L15" s="13">
        <v>3</v>
      </c>
      <c r="M15" s="11"/>
      <c r="N15" s="16">
        <v>39.67</v>
      </c>
      <c r="O15" s="16">
        <f t="shared" si="0"/>
        <v>0</v>
      </c>
      <c r="P15" s="38"/>
    </row>
    <row r="16" spans="2:16" s="5" customFormat="1" ht="17.7" customHeight="1" x14ac:dyDescent="0.2">
      <c r="B16" s="13" t="s">
        <v>14</v>
      </c>
      <c r="C16" s="13" t="s">
        <v>27</v>
      </c>
      <c r="D16" s="13" t="s">
        <v>28</v>
      </c>
      <c r="E16" s="14">
        <v>7898212287639</v>
      </c>
      <c r="F16" s="14" t="s">
        <v>269</v>
      </c>
      <c r="G16" s="14" t="s">
        <v>17</v>
      </c>
      <c r="H16" s="14" t="s">
        <v>18</v>
      </c>
      <c r="I16" s="15" t="s">
        <v>29</v>
      </c>
      <c r="J16" s="13" t="s">
        <v>20</v>
      </c>
      <c r="K16" s="13">
        <v>6</v>
      </c>
      <c r="L16" s="13">
        <v>3</v>
      </c>
      <c r="M16" s="11"/>
      <c r="N16" s="16">
        <v>39.67</v>
      </c>
      <c r="O16" s="16">
        <f t="shared" si="0"/>
        <v>0</v>
      </c>
      <c r="P16" s="38"/>
    </row>
    <row r="17" spans="2:16" s="5" customFormat="1" ht="17.7" customHeight="1" x14ac:dyDescent="0.2">
      <c r="B17" s="13" t="s">
        <v>14</v>
      </c>
      <c r="C17" s="13" t="s">
        <v>32</v>
      </c>
      <c r="D17" s="13" t="s">
        <v>33</v>
      </c>
      <c r="E17" s="14">
        <v>7898212287608</v>
      </c>
      <c r="F17" s="14" t="s">
        <v>269</v>
      </c>
      <c r="G17" s="14" t="s">
        <v>17</v>
      </c>
      <c r="H17" s="14" t="s">
        <v>18</v>
      </c>
      <c r="I17" s="15" t="s">
        <v>34</v>
      </c>
      <c r="J17" s="13" t="s">
        <v>20</v>
      </c>
      <c r="K17" s="13">
        <v>6</v>
      </c>
      <c r="L17" s="13">
        <v>3</v>
      </c>
      <c r="M17" s="11"/>
      <c r="N17" s="16">
        <v>47.62</v>
      </c>
      <c r="O17" s="16">
        <f t="shared" si="0"/>
        <v>0</v>
      </c>
      <c r="P17" s="38"/>
    </row>
    <row r="18" spans="2:16" s="5" customFormat="1" ht="17.7" customHeight="1" x14ac:dyDescent="0.2">
      <c r="B18" s="13" t="s">
        <v>14</v>
      </c>
      <c r="C18" s="13" t="s">
        <v>35</v>
      </c>
      <c r="D18" s="13" t="s">
        <v>36</v>
      </c>
      <c r="E18" s="14">
        <v>7898212287646</v>
      </c>
      <c r="F18" s="14" t="s">
        <v>269</v>
      </c>
      <c r="G18" s="14" t="s">
        <v>17</v>
      </c>
      <c r="H18" s="14" t="s">
        <v>18</v>
      </c>
      <c r="I18" s="15" t="s">
        <v>256</v>
      </c>
      <c r="J18" s="13" t="s">
        <v>20</v>
      </c>
      <c r="K18" s="13">
        <v>6</v>
      </c>
      <c r="L18" s="13">
        <v>3</v>
      </c>
      <c r="M18" s="11"/>
      <c r="N18" s="16">
        <v>47.62</v>
      </c>
      <c r="O18" s="16">
        <f t="shared" si="0"/>
        <v>0</v>
      </c>
      <c r="P18" s="38"/>
    </row>
    <row r="19" spans="2:16" s="5" customFormat="1" ht="17.7" customHeight="1" x14ac:dyDescent="0.2">
      <c r="B19" s="13" t="s">
        <v>14</v>
      </c>
      <c r="C19" s="13" t="s">
        <v>37</v>
      </c>
      <c r="D19" s="13" t="s">
        <v>38</v>
      </c>
      <c r="E19" s="14">
        <v>7898212287028</v>
      </c>
      <c r="F19" s="14" t="s">
        <v>269</v>
      </c>
      <c r="G19" s="14" t="s">
        <v>17</v>
      </c>
      <c r="H19" s="14" t="s">
        <v>18</v>
      </c>
      <c r="I19" s="15" t="s">
        <v>39</v>
      </c>
      <c r="J19" s="13" t="s">
        <v>40</v>
      </c>
      <c r="K19" s="13">
        <v>6</v>
      </c>
      <c r="L19" s="13">
        <v>3</v>
      </c>
      <c r="M19" s="11"/>
      <c r="N19" s="16">
        <v>42.14</v>
      </c>
      <c r="O19" s="16">
        <f t="shared" si="0"/>
        <v>0</v>
      </c>
      <c r="P19" s="38"/>
    </row>
    <row r="20" spans="2:16" s="5" customFormat="1" ht="17.7" customHeight="1" x14ac:dyDescent="0.2">
      <c r="B20" s="9" t="s">
        <v>14</v>
      </c>
      <c r="C20" s="9" t="s">
        <v>15</v>
      </c>
      <c r="D20" s="9" t="s">
        <v>16</v>
      </c>
      <c r="E20" s="10">
        <v>7898212288155</v>
      </c>
      <c r="F20" s="14" t="s">
        <v>269</v>
      </c>
      <c r="G20" s="10" t="s">
        <v>17</v>
      </c>
      <c r="H20" s="10" t="s">
        <v>18</v>
      </c>
      <c r="I20" s="15" t="s">
        <v>19</v>
      </c>
      <c r="J20" s="9" t="s">
        <v>20</v>
      </c>
      <c r="K20" s="9">
        <v>6</v>
      </c>
      <c r="L20" s="9">
        <v>3</v>
      </c>
      <c r="M20" s="11"/>
      <c r="N20" s="12">
        <v>40.31</v>
      </c>
      <c r="O20" s="12">
        <f t="shared" si="0"/>
        <v>0</v>
      </c>
      <c r="P20" s="38"/>
    </row>
    <row r="21" spans="2:16" s="5" customFormat="1" ht="17.7" customHeight="1" x14ac:dyDescent="0.2">
      <c r="B21" s="13" t="s">
        <v>14</v>
      </c>
      <c r="C21" s="13" t="s">
        <v>21</v>
      </c>
      <c r="D21" s="13" t="s">
        <v>22</v>
      </c>
      <c r="E21" s="14">
        <v>7898212288148</v>
      </c>
      <c r="F21" s="14" t="s">
        <v>269</v>
      </c>
      <c r="G21" s="14" t="s">
        <v>17</v>
      </c>
      <c r="H21" s="14" t="s">
        <v>18</v>
      </c>
      <c r="I21" s="15" t="s">
        <v>23</v>
      </c>
      <c r="J21" s="13" t="s">
        <v>20</v>
      </c>
      <c r="K21" s="13">
        <v>6</v>
      </c>
      <c r="L21" s="13">
        <v>3</v>
      </c>
      <c r="M21" s="11"/>
      <c r="N21" s="16">
        <v>40.31</v>
      </c>
      <c r="O21" s="16">
        <f t="shared" si="0"/>
        <v>0</v>
      </c>
      <c r="P21" s="38"/>
    </row>
    <row r="22" spans="2:16" s="5" customFormat="1" ht="17.7" customHeight="1" x14ac:dyDescent="0.2">
      <c r="B22" s="13" t="s">
        <v>14</v>
      </c>
      <c r="C22" s="13" t="s">
        <v>24</v>
      </c>
      <c r="D22" s="13" t="s">
        <v>25</v>
      </c>
      <c r="E22" s="14">
        <v>7898212288131</v>
      </c>
      <c r="F22" s="14" t="s">
        <v>269</v>
      </c>
      <c r="G22" s="14" t="s">
        <v>17</v>
      </c>
      <c r="H22" s="14" t="s">
        <v>18</v>
      </c>
      <c r="I22" s="15" t="s">
        <v>26</v>
      </c>
      <c r="J22" s="13" t="s">
        <v>20</v>
      </c>
      <c r="K22" s="13">
        <v>6</v>
      </c>
      <c r="L22" s="13">
        <v>3</v>
      </c>
      <c r="M22" s="11"/>
      <c r="N22" s="16">
        <v>47.05</v>
      </c>
      <c r="O22" s="16">
        <f t="shared" si="0"/>
        <v>0</v>
      </c>
      <c r="P22" s="38"/>
    </row>
    <row r="23" spans="2:16" s="5" customFormat="1" ht="17.7" customHeight="1" x14ac:dyDescent="0.2">
      <c r="B23" s="13" t="s">
        <v>14</v>
      </c>
      <c r="C23" s="13" t="s">
        <v>41</v>
      </c>
      <c r="D23" s="13" t="s">
        <v>42</v>
      </c>
      <c r="E23" s="14">
        <v>7898212287424</v>
      </c>
      <c r="F23" s="14" t="s">
        <v>269</v>
      </c>
      <c r="G23" s="14" t="s">
        <v>17</v>
      </c>
      <c r="H23" s="14" t="s">
        <v>18</v>
      </c>
      <c r="I23" s="15" t="s">
        <v>43</v>
      </c>
      <c r="J23" s="13" t="s">
        <v>40</v>
      </c>
      <c r="K23" s="13">
        <v>6</v>
      </c>
      <c r="L23" s="13">
        <v>3</v>
      </c>
      <c r="M23" s="11"/>
      <c r="N23" s="16">
        <v>29.7</v>
      </c>
      <c r="O23" s="16">
        <f t="shared" si="0"/>
        <v>0</v>
      </c>
      <c r="P23" s="38"/>
    </row>
    <row r="24" spans="2:16" s="5" customFormat="1" ht="17.7" customHeight="1" x14ac:dyDescent="0.2">
      <c r="B24" s="13" t="s">
        <v>14</v>
      </c>
      <c r="C24" s="13" t="s">
        <v>52</v>
      </c>
      <c r="D24" s="13" t="s">
        <v>53</v>
      </c>
      <c r="E24" s="14">
        <v>7898212287127</v>
      </c>
      <c r="F24" s="14" t="s">
        <v>271</v>
      </c>
      <c r="G24" s="14" t="s">
        <v>17</v>
      </c>
      <c r="H24" s="14" t="s">
        <v>18</v>
      </c>
      <c r="I24" s="15" t="s">
        <v>54</v>
      </c>
      <c r="J24" s="13" t="s">
        <v>55</v>
      </c>
      <c r="K24" s="13">
        <v>6</v>
      </c>
      <c r="L24" s="13">
        <v>3</v>
      </c>
      <c r="M24" s="11"/>
      <c r="N24" s="16">
        <v>33.6</v>
      </c>
      <c r="O24" s="16">
        <f t="shared" si="0"/>
        <v>0</v>
      </c>
      <c r="P24" s="38"/>
    </row>
    <row r="25" spans="2:16" s="5" customFormat="1" ht="17.7" customHeight="1" x14ac:dyDescent="0.2">
      <c r="B25" s="13" t="s">
        <v>14</v>
      </c>
      <c r="C25" s="13" t="s">
        <v>285</v>
      </c>
      <c r="D25" s="13" t="s">
        <v>286</v>
      </c>
      <c r="E25" s="14">
        <v>7898212288728</v>
      </c>
      <c r="F25" s="14" t="s">
        <v>269</v>
      </c>
      <c r="G25" s="14" t="s">
        <v>17</v>
      </c>
      <c r="H25" s="14" t="s">
        <v>72</v>
      </c>
      <c r="I25" s="15" t="s">
        <v>299</v>
      </c>
      <c r="J25" s="13" t="s">
        <v>76</v>
      </c>
      <c r="K25" s="13">
        <v>6</v>
      </c>
      <c r="L25" s="13">
        <v>3</v>
      </c>
      <c r="M25" s="11"/>
      <c r="N25" s="16">
        <v>24.37</v>
      </c>
      <c r="O25" s="16">
        <f t="shared" si="0"/>
        <v>0</v>
      </c>
      <c r="P25" s="39"/>
    </row>
    <row r="26" spans="2:16" s="5" customFormat="1" ht="17.7" customHeight="1" x14ac:dyDescent="0.2">
      <c r="B26" s="13" t="s">
        <v>14</v>
      </c>
      <c r="C26" s="13" t="s">
        <v>70</v>
      </c>
      <c r="D26" s="13" t="s">
        <v>71</v>
      </c>
      <c r="E26" s="14">
        <v>7898212288223</v>
      </c>
      <c r="F26" s="14" t="s">
        <v>269</v>
      </c>
      <c r="G26" s="14" t="s">
        <v>17</v>
      </c>
      <c r="H26" s="14" t="s">
        <v>72</v>
      </c>
      <c r="I26" s="15" t="s">
        <v>277</v>
      </c>
      <c r="J26" s="13" t="s">
        <v>73</v>
      </c>
      <c r="K26" s="13">
        <v>6</v>
      </c>
      <c r="L26" s="13">
        <v>3</v>
      </c>
      <c r="M26" s="11"/>
      <c r="N26" s="16">
        <v>28.43</v>
      </c>
      <c r="O26" s="16">
        <f t="shared" si="0"/>
        <v>0</v>
      </c>
      <c r="P26" s="38"/>
    </row>
    <row r="27" spans="2:16" s="5" customFormat="1" ht="17.7" customHeight="1" x14ac:dyDescent="0.2">
      <c r="B27" s="13" t="s">
        <v>14</v>
      </c>
      <c r="C27" s="13" t="s">
        <v>261</v>
      </c>
      <c r="D27" s="13" t="s">
        <v>266</v>
      </c>
      <c r="E27" s="14">
        <v>7898212288582</v>
      </c>
      <c r="F27" s="14" t="s">
        <v>269</v>
      </c>
      <c r="G27" s="14" t="s">
        <v>17</v>
      </c>
      <c r="H27" s="14" t="s">
        <v>72</v>
      </c>
      <c r="I27" s="15" t="s">
        <v>275</v>
      </c>
      <c r="J27" s="13" t="s">
        <v>76</v>
      </c>
      <c r="K27" s="13">
        <v>6</v>
      </c>
      <c r="L27" s="13">
        <v>3</v>
      </c>
      <c r="M27" s="11"/>
      <c r="N27" s="16">
        <v>22.74</v>
      </c>
      <c r="O27" s="16">
        <f t="shared" si="0"/>
        <v>0</v>
      </c>
      <c r="P27" s="38"/>
    </row>
    <row r="28" spans="2:16" s="5" customFormat="1" ht="17.7" customHeight="1" x14ac:dyDescent="0.2">
      <c r="B28" s="13" t="s">
        <v>14</v>
      </c>
      <c r="C28" s="13" t="s">
        <v>262</v>
      </c>
      <c r="D28" s="13" t="s">
        <v>267</v>
      </c>
      <c r="E28" s="14">
        <v>7898212288575</v>
      </c>
      <c r="F28" s="14" t="s">
        <v>269</v>
      </c>
      <c r="G28" s="14" t="s">
        <v>17</v>
      </c>
      <c r="H28" s="14" t="s">
        <v>72</v>
      </c>
      <c r="I28" s="15" t="s">
        <v>276</v>
      </c>
      <c r="J28" s="13" t="s">
        <v>76</v>
      </c>
      <c r="K28" s="13">
        <v>6</v>
      </c>
      <c r="L28" s="13">
        <v>3</v>
      </c>
      <c r="M28" s="11"/>
      <c r="N28" s="16">
        <v>22.74</v>
      </c>
      <c r="O28" s="16">
        <f t="shared" si="0"/>
        <v>0</v>
      </c>
      <c r="P28" s="38"/>
    </row>
    <row r="29" spans="2:16" s="5" customFormat="1" ht="17.7" customHeight="1" x14ac:dyDescent="0.2">
      <c r="B29" s="13" t="s">
        <v>14</v>
      </c>
      <c r="C29" s="13" t="s">
        <v>77</v>
      </c>
      <c r="D29" s="13" t="s">
        <v>78</v>
      </c>
      <c r="E29" s="14">
        <v>7898212288247</v>
      </c>
      <c r="F29" s="14" t="s">
        <v>269</v>
      </c>
      <c r="G29" s="14" t="s">
        <v>17</v>
      </c>
      <c r="H29" s="14" t="s">
        <v>72</v>
      </c>
      <c r="I29" s="15" t="s">
        <v>248</v>
      </c>
      <c r="J29" s="13" t="s">
        <v>76</v>
      </c>
      <c r="K29" s="13">
        <v>6</v>
      </c>
      <c r="L29" s="13">
        <v>3</v>
      </c>
      <c r="M29" s="11"/>
      <c r="N29" s="16">
        <v>22.74</v>
      </c>
      <c r="O29" s="16">
        <f t="shared" si="0"/>
        <v>0</v>
      </c>
      <c r="P29" s="38"/>
    </row>
    <row r="30" spans="2:16" s="5" customFormat="1" ht="17.7" customHeight="1" x14ac:dyDescent="0.2">
      <c r="B30" s="13" t="s">
        <v>14</v>
      </c>
      <c r="C30" s="13" t="s">
        <v>79</v>
      </c>
      <c r="D30" s="13" t="s">
        <v>80</v>
      </c>
      <c r="E30" s="14">
        <v>7898212288230</v>
      </c>
      <c r="F30" s="14" t="s">
        <v>269</v>
      </c>
      <c r="G30" s="14" t="s">
        <v>17</v>
      </c>
      <c r="H30" s="14" t="s">
        <v>72</v>
      </c>
      <c r="I30" s="15" t="s">
        <v>249</v>
      </c>
      <c r="J30" s="13" t="s">
        <v>76</v>
      </c>
      <c r="K30" s="13">
        <v>6</v>
      </c>
      <c r="L30" s="13">
        <v>3</v>
      </c>
      <c r="M30" s="11"/>
      <c r="N30" s="16">
        <v>22.74</v>
      </c>
      <c r="O30" s="16">
        <f t="shared" si="0"/>
        <v>0</v>
      </c>
      <c r="P30" s="38"/>
    </row>
    <row r="31" spans="2:16" s="5" customFormat="1" ht="17.7" customHeight="1" x14ac:dyDescent="0.2">
      <c r="B31" s="13" t="s">
        <v>14</v>
      </c>
      <c r="C31" s="13" t="s">
        <v>81</v>
      </c>
      <c r="D31" s="13" t="s">
        <v>82</v>
      </c>
      <c r="E31" s="14">
        <v>7898212288254</v>
      </c>
      <c r="F31" s="14" t="s">
        <v>269</v>
      </c>
      <c r="G31" s="14" t="s">
        <v>17</v>
      </c>
      <c r="H31" s="14" t="s">
        <v>72</v>
      </c>
      <c r="I31" s="15" t="s">
        <v>250</v>
      </c>
      <c r="J31" s="13" t="s">
        <v>76</v>
      </c>
      <c r="K31" s="13">
        <v>6</v>
      </c>
      <c r="L31" s="13">
        <v>3</v>
      </c>
      <c r="M31" s="11"/>
      <c r="N31" s="16">
        <v>22.74</v>
      </c>
      <c r="O31" s="16">
        <f t="shared" si="0"/>
        <v>0</v>
      </c>
      <c r="P31" s="38"/>
    </row>
    <row r="32" spans="2:16" s="5" customFormat="1" ht="17.7" customHeight="1" x14ac:dyDescent="0.2">
      <c r="B32" s="13" t="s">
        <v>14</v>
      </c>
      <c r="C32" s="13" t="s">
        <v>74</v>
      </c>
      <c r="D32" s="13" t="s">
        <v>75</v>
      </c>
      <c r="E32" s="14">
        <v>7898212288261</v>
      </c>
      <c r="F32" s="14" t="s">
        <v>269</v>
      </c>
      <c r="G32" s="14" t="s">
        <v>17</v>
      </c>
      <c r="H32" s="14" t="s">
        <v>72</v>
      </c>
      <c r="I32" s="15" t="s">
        <v>254</v>
      </c>
      <c r="J32" s="13" t="s">
        <v>76</v>
      </c>
      <c r="K32" s="13">
        <v>6</v>
      </c>
      <c r="L32" s="13">
        <v>3</v>
      </c>
      <c r="M32" s="11"/>
      <c r="N32" s="16">
        <v>20.6</v>
      </c>
      <c r="O32" s="16">
        <f t="shared" si="0"/>
        <v>0</v>
      </c>
      <c r="P32" s="38"/>
    </row>
    <row r="33" spans="2:16" s="5" customFormat="1" ht="17.7" customHeight="1" x14ac:dyDescent="0.2">
      <c r="B33" s="13" t="s">
        <v>14</v>
      </c>
      <c r="C33" s="13" t="s">
        <v>83</v>
      </c>
      <c r="D33" s="13" t="s">
        <v>84</v>
      </c>
      <c r="E33" s="14">
        <v>7898212287332</v>
      </c>
      <c r="F33" s="14" t="s">
        <v>269</v>
      </c>
      <c r="G33" s="14" t="s">
        <v>17</v>
      </c>
      <c r="H33" s="14" t="s">
        <v>72</v>
      </c>
      <c r="I33" s="15" t="s">
        <v>85</v>
      </c>
      <c r="J33" s="13" t="s">
        <v>76</v>
      </c>
      <c r="K33" s="13">
        <v>6</v>
      </c>
      <c r="L33" s="13">
        <v>3</v>
      </c>
      <c r="M33" s="11"/>
      <c r="N33" s="16">
        <v>19.23</v>
      </c>
      <c r="O33" s="16">
        <f t="shared" si="0"/>
        <v>0</v>
      </c>
      <c r="P33" s="38"/>
    </row>
    <row r="34" spans="2:16" s="5" customFormat="1" ht="17.7" customHeight="1" x14ac:dyDescent="0.2">
      <c r="B34" s="13" t="s">
        <v>14</v>
      </c>
      <c r="C34" s="13" t="s">
        <v>101</v>
      </c>
      <c r="D34" s="13" t="s">
        <v>102</v>
      </c>
      <c r="E34" s="14">
        <v>7898212287172</v>
      </c>
      <c r="F34" s="14" t="s">
        <v>269</v>
      </c>
      <c r="G34" s="14" t="s">
        <v>17</v>
      </c>
      <c r="H34" s="14" t="s">
        <v>291</v>
      </c>
      <c r="I34" s="15" t="s">
        <v>103</v>
      </c>
      <c r="J34" s="13" t="s">
        <v>58</v>
      </c>
      <c r="K34" s="13">
        <v>12</v>
      </c>
      <c r="L34" s="13">
        <v>6</v>
      </c>
      <c r="M34" s="11"/>
      <c r="N34" s="16">
        <v>13.73</v>
      </c>
      <c r="O34" s="16">
        <f t="shared" si="0"/>
        <v>0</v>
      </c>
      <c r="P34" s="38"/>
    </row>
    <row r="35" spans="2:16" s="5" customFormat="1" ht="17.7" customHeight="1" x14ac:dyDescent="0.2">
      <c r="B35" s="13" t="s">
        <v>14</v>
      </c>
      <c r="C35" s="13" t="s">
        <v>104</v>
      </c>
      <c r="D35" s="13" t="s">
        <v>105</v>
      </c>
      <c r="E35" s="14">
        <v>7898212282979</v>
      </c>
      <c r="F35" s="14" t="s">
        <v>269</v>
      </c>
      <c r="G35" s="14" t="s">
        <v>17</v>
      </c>
      <c r="H35" s="14" t="s">
        <v>291</v>
      </c>
      <c r="I35" s="15" t="s">
        <v>106</v>
      </c>
      <c r="J35" s="13" t="s">
        <v>76</v>
      </c>
      <c r="K35" s="13">
        <v>6</v>
      </c>
      <c r="L35" s="13">
        <v>3</v>
      </c>
      <c r="M35" s="11"/>
      <c r="N35" s="16">
        <v>21.52</v>
      </c>
      <c r="O35" s="16">
        <f t="shared" si="0"/>
        <v>0</v>
      </c>
      <c r="P35" s="38"/>
    </row>
    <row r="36" spans="2:16" s="5" customFormat="1" ht="17.7" customHeight="1" x14ac:dyDescent="0.2">
      <c r="B36" s="13" t="s">
        <v>14</v>
      </c>
      <c r="C36" s="13" t="s">
        <v>98</v>
      </c>
      <c r="D36" s="13" t="s">
        <v>99</v>
      </c>
      <c r="E36" s="14">
        <v>7898212286595</v>
      </c>
      <c r="F36" s="14" t="s">
        <v>269</v>
      </c>
      <c r="G36" s="14" t="s">
        <v>17</v>
      </c>
      <c r="H36" s="14" t="s">
        <v>291</v>
      </c>
      <c r="I36" s="15" t="s">
        <v>100</v>
      </c>
      <c r="J36" s="13" t="s">
        <v>58</v>
      </c>
      <c r="K36" s="13">
        <v>12</v>
      </c>
      <c r="L36" s="13">
        <v>6</v>
      </c>
      <c r="M36" s="11"/>
      <c r="N36" s="16">
        <v>11.68</v>
      </c>
      <c r="O36" s="16">
        <f t="shared" si="0"/>
        <v>0</v>
      </c>
      <c r="P36" s="38"/>
    </row>
    <row r="37" spans="2:16" s="5" customFormat="1" ht="17.7" customHeight="1" x14ac:dyDescent="0.2">
      <c r="B37" s="13" t="s">
        <v>14</v>
      </c>
      <c r="C37" s="13" t="s">
        <v>89</v>
      </c>
      <c r="D37" s="13" t="s">
        <v>90</v>
      </c>
      <c r="E37" s="14">
        <v>7898212282955</v>
      </c>
      <c r="F37" s="14" t="s">
        <v>269</v>
      </c>
      <c r="G37" s="14" t="s">
        <v>17</v>
      </c>
      <c r="H37" s="14" t="s">
        <v>291</v>
      </c>
      <c r="I37" s="15" t="s">
        <v>91</v>
      </c>
      <c r="J37" s="13" t="s">
        <v>76</v>
      </c>
      <c r="K37" s="13">
        <v>6</v>
      </c>
      <c r="L37" s="13">
        <v>3</v>
      </c>
      <c r="M37" s="11"/>
      <c r="N37" s="16">
        <v>23.36</v>
      </c>
      <c r="O37" s="16">
        <f t="shared" ref="O37:O68" si="1">M37*N37</f>
        <v>0</v>
      </c>
      <c r="P37" s="38"/>
    </row>
    <row r="38" spans="2:16" s="5" customFormat="1" ht="17.7" customHeight="1" x14ac:dyDescent="0.2">
      <c r="B38" s="13" t="s">
        <v>14</v>
      </c>
      <c r="C38" s="13" t="s">
        <v>283</v>
      </c>
      <c r="D38" s="13" t="s">
        <v>284</v>
      </c>
      <c r="E38" s="14">
        <v>7898212288698</v>
      </c>
      <c r="F38" s="14" t="s">
        <v>269</v>
      </c>
      <c r="G38" s="14" t="s">
        <v>17</v>
      </c>
      <c r="H38" s="14" t="s">
        <v>291</v>
      </c>
      <c r="I38" s="15" t="s">
        <v>91</v>
      </c>
      <c r="J38" s="13" t="s">
        <v>280</v>
      </c>
      <c r="K38" s="13">
        <v>6</v>
      </c>
      <c r="L38" s="13">
        <v>3</v>
      </c>
      <c r="M38" s="11"/>
      <c r="N38" s="16">
        <v>30.47</v>
      </c>
      <c r="O38" s="16">
        <f t="shared" si="1"/>
        <v>0</v>
      </c>
      <c r="P38" s="39"/>
    </row>
    <row r="39" spans="2:16" s="5" customFormat="1" ht="17.7" customHeight="1" x14ac:dyDescent="0.2">
      <c r="B39" s="13" t="s">
        <v>14</v>
      </c>
      <c r="C39" s="13" t="s">
        <v>92</v>
      </c>
      <c r="D39" s="13" t="s">
        <v>93</v>
      </c>
      <c r="E39" s="14">
        <v>7898212284591</v>
      </c>
      <c r="F39" s="14" t="s">
        <v>269</v>
      </c>
      <c r="G39" s="14" t="s">
        <v>17</v>
      </c>
      <c r="H39" s="14" t="s">
        <v>291</v>
      </c>
      <c r="I39" s="15" t="s">
        <v>94</v>
      </c>
      <c r="J39" s="13" t="s">
        <v>76</v>
      </c>
      <c r="K39" s="13">
        <v>6</v>
      </c>
      <c r="L39" s="13">
        <v>3</v>
      </c>
      <c r="M39" s="11"/>
      <c r="N39" s="16">
        <v>24.32</v>
      </c>
      <c r="O39" s="16">
        <f t="shared" si="1"/>
        <v>0</v>
      </c>
      <c r="P39" s="38"/>
    </row>
    <row r="40" spans="2:16" s="5" customFormat="1" ht="17.7" customHeight="1" x14ac:dyDescent="0.2">
      <c r="B40" s="13" t="s">
        <v>14</v>
      </c>
      <c r="C40" s="13" t="s">
        <v>281</v>
      </c>
      <c r="D40" s="13" t="s">
        <v>282</v>
      </c>
      <c r="E40" s="14">
        <v>7898212288681</v>
      </c>
      <c r="F40" s="14" t="s">
        <v>269</v>
      </c>
      <c r="G40" s="14" t="s">
        <v>17</v>
      </c>
      <c r="H40" s="14" t="s">
        <v>291</v>
      </c>
      <c r="I40" s="15" t="s">
        <v>94</v>
      </c>
      <c r="J40" s="13" t="s">
        <v>280</v>
      </c>
      <c r="K40" s="13">
        <v>6</v>
      </c>
      <c r="L40" s="13">
        <v>3</v>
      </c>
      <c r="M40" s="11"/>
      <c r="N40" s="16">
        <v>30.47</v>
      </c>
      <c r="O40" s="16">
        <f t="shared" si="1"/>
        <v>0</v>
      </c>
      <c r="P40" s="39"/>
    </row>
    <row r="41" spans="2:16" s="5" customFormat="1" ht="17.7" customHeight="1" x14ac:dyDescent="0.2">
      <c r="B41" s="13" t="s">
        <v>14</v>
      </c>
      <c r="C41" s="13" t="s">
        <v>95</v>
      </c>
      <c r="D41" s="13" t="s">
        <v>96</v>
      </c>
      <c r="E41" s="14">
        <v>7898212285703</v>
      </c>
      <c r="F41" s="14" t="s">
        <v>269</v>
      </c>
      <c r="G41" s="14" t="s">
        <v>17</v>
      </c>
      <c r="H41" s="14" t="s">
        <v>291</v>
      </c>
      <c r="I41" s="15" t="s">
        <v>97</v>
      </c>
      <c r="J41" s="13" t="s">
        <v>76</v>
      </c>
      <c r="K41" s="13">
        <v>6</v>
      </c>
      <c r="L41" s="13">
        <v>3</v>
      </c>
      <c r="M41" s="11"/>
      <c r="N41" s="16">
        <v>24.32</v>
      </c>
      <c r="O41" s="16">
        <f t="shared" si="1"/>
        <v>0</v>
      </c>
      <c r="P41" s="38"/>
    </row>
    <row r="42" spans="2:16" s="5" customFormat="1" ht="17.7" customHeight="1" x14ac:dyDescent="0.2">
      <c r="B42" s="13" t="s">
        <v>14</v>
      </c>
      <c r="C42" s="13" t="s">
        <v>107</v>
      </c>
      <c r="D42" s="13" t="s">
        <v>108</v>
      </c>
      <c r="E42" s="14">
        <v>7898212280135</v>
      </c>
      <c r="F42" s="14" t="s">
        <v>272</v>
      </c>
      <c r="G42" s="14" t="s">
        <v>17</v>
      </c>
      <c r="H42" s="14" t="s">
        <v>291</v>
      </c>
      <c r="I42" s="15" t="s">
        <v>109</v>
      </c>
      <c r="J42" s="13" t="s">
        <v>110</v>
      </c>
      <c r="K42" s="13">
        <v>6</v>
      </c>
      <c r="L42" s="13">
        <v>6</v>
      </c>
      <c r="M42" s="11"/>
      <c r="N42" s="16">
        <v>18.739999999999998</v>
      </c>
      <c r="O42" s="16">
        <f t="shared" si="1"/>
        <v>0</v>
      </c>
      <c r="P42" s="38"/>
    </row>
    <row r="43" spans="2:16" s="5" customFormat="1" ht="17.7" customHeight="1" x14ac:dyDescent="0.2">
      <c r="B43" s="13" t="s">
        <v>14</v>
      </c>
      <c r="C43" s="13" t="s">
        <v>86</v>
      </c>
      <c r="D43" s="13" t="s">
        <v>87</v>
      </c>
      <c r="E43" s="14">
        <v>7898212287370</v>
      </c>
      <c r="F43" s="14" t="s">
        <v>269</v>
      </c>
      <c r="G43" s="14" t="s">
        <v>17</v>
      </c>
      <c r="H43" s="14" t="s">
        <v>291</v>
      </c>
      <c r="I43" s="15" t="s">
        <v>88</v>
      </c>
      <c r="J43" s="13" t="s">
        <v>76</v>
      </c>
      <c r="K43" s="13">
        <v>6</v>
      </c>
      <c r="L43" s="13">
        <v>3</v>
      </c>
      <c r="M43" s="11"/>
      <c r="N43" s="16">
        <v>19.23</v>
      </c>
      <c r="O43" s="16">
        <f t="shared" si="1"/>
        <v>0</v>
      </c>
      <c r="P43" s="38"/>
    </row>
    <row r="44" spans="2:16" s="5" customFormat="1" ht="17.7" customHeight="1" x14ac:dyDescent="0.2">
      <c r="B44" s="13" t="s">
        <v>14</v>
      </c>
      <c r="C44" s="13" t="s">
        <v>287</v>
      </c>
      <c r="D44" s="13" t="s">
        <v>288</v>
      </c>
      <c r="E44" s="14">
        <v>7898212288711</v>
      </c>
      <c r="F44" s="14" t="s">
        <v>269</v>
      </c>
      <c r="G44" s="14" t="s">
        <v>17</v>
      </c>
      <c r="H44" s="14" t="s">
        <v>291</v>
      </c>
      <c r="I44" s="15" t="s">
        <v>300</v>
      </c>
      <c r="J44" s="13" t="s">
        <v>280</v>
      </c>
      <c r="K44" s="13">
        <v>6</v>
      </c>
      <c r="L44" s="13">
        <v>3</v>
      </c>
      <c r="M44" s="11"/>
      <c r="N44" s="16">
        <v>30.47</v>
      </c>
      <c r="O44" s="16">
        <f t="shared" si="1"/>
        <v>0</v>
      </c>
      <c r="P44" s="39"/>
    </row>
    <row r="45" spans="2:16" s="5" customFormat="1" ht="17.7" customHeight="1" x14ac:dyDescent="0.2">
      <c r="B45" s="13" t="s">
        <v>14</v>
      </c>
      <c r="C45" s="13" t="s">
        <v>289</v>
      </c>
      <c r="D45" s="13" t="s">
        <v>290</v>
      </c>
      <c r="E45" s="14">
        <v>7898212288704</v>
      </c>
      <c r="F45" s="14" t="s">
        <v>269</v>
      </c>
      <c r="G45" s="14" t="s">
        <v>17</v>
      </c>
      <c r="H45" s="14" t="s">
        <v>291</v>
      </c>
      <c r="I45" s="15" t="s">
        <v>301</v>
      </c>
      <c r="J45" s="13" t="s">
        <v>280</v>
      </c>
      <c r="K45" s="13">
        <v>6</v>
      </c>
      <c r="L45" s="13">
        <v>3</v>
      </c>
      <c r="M45" s="11"/>
      <c r="N45" s="16">
        <v>30.47</v>
      </c>
      <c r="O45" s="16">
        <f t="shared" si="1"/>
        <v>0</v>
      </c>
      <c r="P45" s="39"/>
    </row>
    <row r="46" spans="2:16" s="5" customFormat="1" ht="17.7" customHeight="1" x14ac:dyDescent="0.2">
      <c r="B46" s="13" t="s">
        <v>14</v>
      </c>
      <c r="C46" s="13" t="s">
        <v>111</v>
      </c>
      <c r="D46" s="13" t="s">
        <v>112</v>
      </c>
      <c r="E46" s="14">
        <v>7898212285314</v>
      </c>
      <c r="F46" s="14" t="s">
        <v>269</v>
      </c>
      <c r="G46" s="14" t="s">
        <v>17</v>
      </c>
      <c r="H46" s="14" t="s">
        <v>291</v>
      </c>
      <c r="I46" s="15" t="s">
        <v>113</v>
      </c>
      <c r="J46" s="13" t="s">
        <v>76</v>
      </c>
      <c r="K46" s="13">
        <v>6</v>
      </c>
      <c r="L46" s="13">
        <v>3</v>
      </c>
      <c r="M46" s="11"/>
      <c r="N46" s="16">
        <v>42.6</v>
      </c>
      <c r="O46" s="16">
        <f t="shared" si="1"/>
        <v>0</v>
      </c>
      <c r="P46" s="38"/>
    </row>
    <row r="47" spans="2:16" s="5" customFormat="1" ht="17.7" customHeight="1" x14ac:dyDescent="0.2">
      <c r="B47" s="42" t="s">
        <v>14</v>
      </c>
      <c r="C47" s="42" t="s">
        <v>305</v>
      </c>
      <c r="D47" s="42" t="s">
        <v>306</v>
      </c>
      <c r="E47" s="43">
        <v>7898212288568</v>
      </c>
      <c r="F47" s="43" t="s">
        <v>269</v>
      </c>
      <c r="G47" s="43" t="s">
        <v>116</v>
      </c>
      <c r="H47" s="43" t="s">
        <v>292</v>
      </c>
      <c r="I47" s="44" t="s">
        <v>307</v>
      </c>
      <c r="J47" s="42" t="s">
        <v>76</v>
      </c>
      <c r="K47" s="42">
        <v>6</v>
      </c>
      <c r="L47" s="42">
        <v>3</v>
      </c>
      <c r="M47" s="45"/>
      <c r="N47" s="46">
        <v>46.05</v>
      </c>
      <c r="O47" s="46">
        <f t="shared" si="1"/>
        <v>0</v>
      </c>
      <c r="P47" s="38"/>
    </row>
    <row r="48" spans="2:16" s="5" customFormat="1" ht="17.7" customHeight="1" x14ac:dyDescent="0.2">
      <c r="B48" s="13" t="s">
        <v>14</v>
      </c>
      <c r="C48" s="13" t="s">
        <v>147</v>
      </c>
      <c r="D48" s="13" t="s">
        <v>148</v>
      </c>
      <c r="E48" s="14">
        <v>7898212287721</v>
      </c>
      <c r="F48" s="14" t="s">
        <v>269</v>
      </c>
      <c r="G48" s="14" t="s">
        <v>116</v>
      </c>
      <c r="H48" s="14" t="s">
        <v>292</v>
      </c>
      <c r="I48" s="15" t="s">
        <v>149</v>
      </c>
      <c r="J48" s="13" t="s">
        <v>150</v>
      </c>
      <c r="K48" s="13">
        <v>6</v>
      </c>
      <c r="L48" s="13">
        <v>3</v>
      </c>
      <c r="M48" s="11"/>
      <c r="N48" s="16">
        <v>158.9</v>
      </c>
      <c r="O48" s="16">
        <f t="shared" si="1"/>
        <v>0</v>
      </c>
      <c r="P48" s="38"/>
    </row>
    <row r="49" spans="2:16" s="5" customFormat="1" ht="17.7" customHeight="1" x14ac:dyDescent="0.2">
      <c r="B49" s="13" t="s">
        <v>14</v>
      </c>
      <c r="C49" s="13" t="s">
        <v>125</v>
      </c>
      <c r="D49" s="13" t="s">
        <v>126</v>
      </c>
      <c r="E49" s="14">
        <v>7898212288209</v>
      </c>
      <c r="F49" s="14" t="s">
        <v>273</v>
      </c>
      <c r="G49" s="14" t="s">
        <v>116</v>
      </c>
      <c r="H49" s="14" t="s">
        <v>292</v>
      </c>
      <c r="I49" s="15" t="s">
        <v>127</v>
      </c>
      <c r="J49" s="13" t="s">
        <v>128</v>
      </c>
      <c r="K49" s="13">
        <v>6</v>
      </c>
      <c r="L49" s="13">
        <v>3</v>
      </c>
      <c r="M49" s="11"/>
      <c r="N49" s="16">
        <v>47.66</v>
      </c>
      <c r="O49" s="16">
        <f t="shared" si="1"/>
        <v>0</v>
      </c>
      <c r="P49" s="38"/>
    </row>
    <row r="50" spans="2:16" s="5" customFormat="1" ht="17.7" customHeight="1" x14ac:dyDescent="0.2">
      <c r="B50" s="13" t="s">
        <v>14</v>
      </c>
      <c r="C50" s="13" t="s">
        <v>129</v>
      </c>
      <c r="D50" s="13" t="s">
        <v>130</v>
      </c>
      <c r="E50" s="14">
        <v>7898212287738</v>
      </c>
      <c r="F50" s="14" t="s">
        <v>273</v>
      </c>
      <c r="G50" s="14" t="s">
        <v>116</v>
      </c>
      <c r="H50" s="14" t="s">
        <v>292</v>
      </c>
      <c r="I50" s="15" t="s">
        <v>131</v>
      </c>
      <c r="J50" s="13" t="s">
        <v>132</v>
      </c>
      <c r="K50" s="13">
        <v>6</v>
      </c>
      <c r="L50" s="13">
        <v>3</v>
      </c>
      <c r="M50" s="11"/>
      <c r="N50" s="16">
        <v>51.59</v>
      </c>
      <c r="O50" s="16">
        <f t="shared" si="1"/>
        <v>0</v>
      </c>
      <c r="P50" s="38"/>
    </row>
    <row r="51" spans="2:16" s="5" customFormat="1" ht="17.7" customHeight="1" x14ac:dyDescent="0.2">
      <c r="B51" s="13" t="s">
        <v>14</v>
      </c>
      <c r="C51" s="13" t="s">
        <v>133</v>
      </c>
      <c r="D51" s="13" t="s">
        <v>134</v>
      </c>
      <c r="E51" s="14">
        <v>7898212287783</v>
      </c>
      <c r="F51" s="14" t="s">
        <v>269</v>
      </c>
      <c r="G51" s="14" t="s">
        <v>116</v>
      </c>
      <c r="H51" s="14" t="s">
        <v>292</v>
      </c>
      <c r="I51" s="15" t="s">
        <v>135</v>
      </c>
      <c r="J51" s="13" t="s">
        <v>76</v>
      </c>
      <c r="K51" s="13">
        <v>6</v>
      </c>
      <c r="L51" s="13">
        <v>3</v>
      </c>
      <c r="M51" s="11"/>
      <c r="N51" s="16">
        <v>27.75</v>
      </c>
      <c r="O51" s="16">
        <f t="shared" si="1"/>
        <v>0</v>
      </c>
      <c r="P51" s="38"/>
    </row>
    <row r="52" spans="2:16" s="5" customFormat="1" ht="17.7" customHeight="1" x14ac:dyDescent="0.2">
      <c r="B52" s="13" t="s">
        <v>14</v>
      </c>
      <c r="C52" s="13" t="s">
        <v>136</v>
      </c>
      <c r="D52" s="13" t="s">
        <v>137</v>
      </c>
      <c r="E52" s="14">
        <v>7898212287745</v>
      </c>
      <c r="F52" s="14" t="s">
        <v>269</v>
      </c>
      <c r="G52" s="14" t="s">
        <v>116</v>
      </c>
      <c r="H52" s="14" t="s">
        <v>292</v>
      </c>
      <c r="I52" s="15" t="s">
        <v>138</v>
      </c>
      <c r="J52" s="13" t="s">
        <v>132</v>
      </c>
      <c r="K52" s="13">
        <v>6</v>
      </c>
      <c r="L52" s="13">
        <v>3</v>
      </c>
      <c r="M52" s="11"/>
      <c r="N52" s="16">
        <v>53.98</v>
      </c>
      <c r="O52" s="16">
        <f t="shared" si="1"/>
        <v>0</v>
      </c>
      <c r="P52" s="38"/>
    </row>
    <row r="53" spans="2:16" s="5" customFormat="1" ht="17.7" customHeight="1" x14ac:dyDescent="0.2">
      <c r="B53" s="13" t="s">
        <v>14</v>
      </c>
      <c r="C53" s="13" t="s">
        <v>144</v>
      </c>
      <c r="D53" s="13" t="s">
        <v>145</v>
      </c>
      <c r="E53" s="14">
        <v>7898212287752</v>
      </c>
      <c r="F53" s="14" t="s">
        <v>269</v>
      </c>
      <c r="G53" s="14" t="s">
        <v>116</v>
      </c>
      <c r="H53" s="14" t="s">
        <v>292</v>
      </c>
      <c r="I53" s="15" t="s">
        <v>146</v>
      </c>
      <c r="J53" s="13" t="s">
        <v>76</v>
      </c>
      <c r="K53" s="13">
        <v>6</v>
      </c>
      <c r="L53" s="13">
        <v>3</v>
      </c>
      <c r="M53" s="11"/>
      <c r="N53" s="16">
        <v>46.83</v>
      </c>
      <c r="O53" s="16">
        <f t="shared" si="1"/>
        <v>0</v>
      </c>
      <c r="P53" s="38"/>
    </row>
    <row r="54" spans="2:16" s="5" customFormat="1" ht="17.7" customHeight="1" x14ac:dyDescent="0.2">
      <c r="B54" s="13" t="s">
        <v>14</v>
      </c>
      <c r="C54" s="13" t="s">
        <v>141</v>
      </c>
      <c r="D54" s="13" t="s">
        <v>142</v>
      </c>
      <c r="E54" s="14">
        <v>7898212287776</v>
      </c>
      <c r="F54" s="14" t="s">
        <v>269</v>
      </c>
      <c r="G54" s="14" t="s">
        <v>116</v>
      </c>
      <c r="H54" s="14" t="s">
        <v>292</v>
      </c>
      <c r="I54" s="15" t="s">
        <v>143</v>
      </c>
      <c r="J54" s="13" t="s">
        <v>76</v>
      </c>
      <c r="K54" s="13">
        <v>6</v>
      </c>
      <c r="L54" s="13">
        <v>3</v>
      </c>
      <c r="M54" s="11"/>
      <c r="N54" s="16">
        <v>47.61</v>
      </c>
      <c r="O54" s="16">
        <f t="shared" si="1"/>
        <v>0</v>
      </c>
      <c r="P54" s="38"/>
    </row>
    <row r="55" spans="2:16" s="5" customFormat="1" ht="17.7" customHeight="1" x14ac:dyDescent="0.2">
      <c r="B55" s="13" t="s">
        <v>14</v>
      </c>
      <c r="C55" s="13" t="s">
        <v>139</v>
      </c>
      <c r="D55" s="13" t="s">
        <v>140</v>
      </c>
      <c r="E55" s="14">
        <v>7898212287769</v>
      </c>
      <c r="F55" s="14" t="s">
        <v>269</v>
      </c>
      <c r="G55" s="14" t="s">
        <v>116</v>
      </c>
      <c r="H55" s="14" t="s">
        <v>292</v>
      </c>
      <c r="I55" s="15" t="s">
        <v>257</v>
      </c>
      <c r="J55" s="13" t="s">
        <v>132</v>
      </c>
      <c r="K55" s="13">
        <v>6</v>
      </c>
      <c r="L55" s="13">
        <v>3</v>
      </c>
      <c r="M55" s="11"/>
      <c r="N55" s="16">
        <v>61.93</v>
      </c>
      <c r="O55" s="16">
        <f t="shared" si="1"/>
        <v>0</v>
      </c>
      <c r="P55" s="38"/>
    </row>
    <row r="56" spans="2:16" s="5" customFormat="1" ht="17.7" customHeight="1" x14ac:dyDescent="0.2">
      <c r="B56" s="13" t="s">
        <v>14</v>
      </c>
      <c r="C56" s="13" t="s">
        <v>114</v>
      </c>
      <c r="D56" s="13" t="s">
        <v>115</v>
      </c>
      <c r="E56" s="14">
        <v>7898212288179</v>
      </c>
      <c r="F56" s="14" t="s">
        <v>269</v>
      </c>
      <c r="G56" s="14" t="s">
        <v>116</v>
      </c>
      <c r="H56" s="14" t="s">
        <v>292</v>
      </c>
      <c r="I56" s="15" t="s">
        <v>117</v>
      </c>
      <c r="J56" s="13" t="s">
        <v>118</v>
      </c>
      <c r="K56" s="13">
        <v>6</v>
      </c>
      <c r="L56" s="13">
        <v>3</v>
      </c>
      <c r="M56" s="11"/>
      <c r="N56" s="16">
        <v>52.86</v>
      </c>
      <c r="O56" s="16">
        <f t="shared" si="1"/>
        <v>0</v>
      </c>
      <c r="P56" s="38"/>
    </row>
    <row r="57" spans="2:16" s="5" customFormat="1" ht="17.7" customHeight="1" x14ac:dyDescent="0.2">
      <c r="B57" s="13" t="s">
        <v>14</v>
      </c>
      <c r="C57" s="13" t="s">
        <v>119</v>
      </c>
      <c r="D57" s="13" t="s">
        <v>120</v>
      </c>
      <c r="E57" s="14">
        <v>7898212288186</v>
      </c>
      <c r="F57" s="14" t="s">
        <v>269</v>
      </c>
      <c r="G57" s="14" t="s">
        <v>116</v>
      </c>
      <c r="H57" s="14" t="s">
        <v>292</v>
      </c>
      <c r="I57" s="15" t="s">
        <v>121</v>
      </c>
      <c r="J57" s="13" t="s">
        <v>118</v>
      </c>
      <c r="K57" s="13">
        <v>6</v>
      </c>
      <c r="L57" s="13">
        <v>3</v>
      </c>
      <c r="M57" s="11"/>
      <c r="N57" s="16">
        <v>52.86</v>
      </c>
      <c r="O57" s="16">
        <f t="shared" si="1"/>
        <v>0</v>
      </c>
      <c r="P57" s="38"/>
    </row>
    <row r="58" spans="2:16" s="5" customFormat="1" ht="17.7" customHeight="1" x14ac:dyDescent="0.2">
      <c r="B58" s="13" t="s">
        <v>14</v>
      </c>
      <c r="C58" s="13" t="s">
        <v>122</v>
      </c>
      <c r="D58" s="13" t="s">
        <v>123</v>
      </c>
      <c r="E58" s="14">
        <v>7898212288193</v>
      </c>
      <c r="F58" s="14" t="s">
        <v>269</v>
      </c>
      <c r="G58" s="14" t="s">
        <v>116</v>
      </c>
      <c r="H58" s="14" t="s">
        <v>292</v>
      </c>
      <c r="I58" s="15" t="s">
        <v>124</v>
      </c>
      <c r="J58" s="13" t="s">
        <v>118</v>
      </c>
      <c r="K58" s="13">
        <v>6</v>
      </c>
      <c r="L58" s="13">
        <v>3</v>
      </c>
      <c r="M58" s="11"/>
      <c r="N58" s="16">
        <v>52.86</v>
      </c>
      <c r="O58" s="16">
        <f t="shared" si="1"/>
        <v>0</v>
      </c>
      <c r="P58" s="38"/>
    </row>
    <row r="59" spans="2:16" s="5" customFormat="1" ht="17.7" customHeight="1" x14ac:dyDescent="0.2">
      <c r="B59" s="13" t="s">
        <v>14</v>
      </c>
      <c r="C59" s="13" t="s">
        <v>167</v>
      </c>
      <c r="D59" s="13" t="s">
        <v>168</v>
      </c>
      <c r="E59" s="14">
        <v>7898212282429</v>
      </c>
      <c r="F59" s="14" t="s">
        <v>269</v>
      </c>
      <c r="G59" s="14" t="s">
        <v>116</v>
      </c>
      <c r="H59" s="14" t="s">
        <v>153</v>
      </c>
      <c r="I59" s="15" t="s">
        <v>166</v>
      </c>
      <c r="J59" s="13" t="s">
        <v>155</v>
      </c>
      <c r="K59" s="13">
        <v>6</v>
      </c>
      <c r="L59" s="13">
        <v>3</v>
      </c>
      <c r="M59" s="11"/>
      <c r="N59" s="16">
        <v>49.21</v>
      </c>
      <c r="O59" s="16">
        <f t="shared" si="1"/>
        <v>0</v>
      </c>
      <c r="P59" s="38"/>
    </row>
    <row r="60" spans="2:16" s="5" customFormat="1" ht="17.7" customHeight="1" x14ac:dyDescent="0.2">
      <c r="B60" s="13" t="s">
        <v>14</v>
      </c>
      <c r="C60" s="13" t="s">
        <v>164</v>
      </c>
      <c r="D60" s="13" t="s">
        <v>165</v>
      </c>
      <c r="E60" s="14">
        <v>7898212286946</v>
      </c>
      <c r="F60" s="14" t="s">
        <v>269</v>
      </c>
      <c r="G60" s="14" t="s">
        <v>116</v>
      </c>
      <c r="H60" s="14" t="s">
        <v>153</v>
      </c>
      <c r="I60" s="15" t="s">
        <v>166</v>
      </c>
      <c r="J60" s="13" t="s">
        <v>158</v>
      </c>
      <c r="K60" s="13">
        <v>6</v>
      </c>
      <c r="L60" s="13">
        <v>3</v>
      </c>
      <c r="M60" s="11"/>
      <c r="N60" s="16">
        <v>27.56</v>
      </c>
      <c r="O60" s="16">
        <f t="shared" si="1"/>
        <v>0</v>
      </c>
      <c r="P60" s="38"/>
    </row>
    <row r="61" spans="2:16" s="5" customFormat="1" ht="17.7" customHeight="1" x14ac:dyDescent="0.2">
      <c r="B61" s="13" t="s">
        <v>14</v>
      </c>
      <c r="C61" s="13" t="s">
        <v>260</v>
      </c>
      <c r="D61" s="13" t="s">
        <v>263</v>
      </c>
      <c r="E61" s="14">
        <v>7898212288605</v>
      </c>
      <c r="F61" s="14" t="s">
        <v>269</v>
      </c>
      <c r="G61" s="14" t="s">
        <v>116</v>
      </c>
      <c r="H61" s="14" t="s">
        <v>153</v>
      </c>
      <c r="I61" s="15" t="s">
        <v>274</v>
      </c>
      <c r="J61" s="13" t="s">
        <v>158</v>
      </c>
      <c r="K61" s="13">
        <v>6</v>
      </c>
      <c r="L61" s="13">
        <v>3</v>
      </c>
      <c r="M61" s="11"/>
      <c r="N61" s="16">
        <v>30.8</v>
      </c>
      <c r="O61" s="16">
        <f t="shared" si="1"/>
        <v>0</v>
      </c>
      <c r="P61" s="38"/>
    </row>
    <row r="62" spans="2:16" s="5" customFormat="1" ht="17.7" customHeight="1" x14ac:dyDescent="0.2">
      <c r="B62" s="13" t="s">
        <v>14</v>
      </c>
      <c r="C62" s="13" t="s">
        <v>259</v>
      </c>
      <c r="D62" s="13" t="s">
        <v>264</v>
      </c>
      <c r="E62" s="14" t="s">
        <v>265</v>
      </c>
      <c r="F62" s="14" t="s">
        <v>269</v>
      </c>
      <c r="G62" s="14" t="s">
        <v>116</v>
      </c>
      <c r="H62" s="14" t="s">
        <v>153</v>
      </c>
      <c r="I62" s="15" t="s">
        <v>274</v>
      </c>
      <c r="J62" s="13" t="s">
        <v>155</v>
      </c>
      <c r="K62" s="13">
        <v>6</v>
      </c>
      <c r="L62" s="13">
        <v>3</v>
      </c>
      <c r="M62" s="11"/>
      <c r="N62" s="16">
        <v>55.43</v>
      </c>
      <c r="O62" s="16">
        <f t="shared" si="1"/>
        <v>0</v>
      </c>
      <c r="P62" s="38"/>
    </row>
    <row r="63" spans="2:16" s="5" customFormat="1" ht="17.7" customHeight="1" x14ac:dyDescent="0.2">
      <c r="B63" s="13" t="s">
        <v>14</v>
      </c>
      <c r="C63" s="13" t="s">
        <v>151</v>
      </c>
      <c r="D63" s="13" t="s">
        <v>152</v>
      </c>
      <c r="E63" s="14">
        <v>7898212287554</v>
      </c>
      <c r="F63" s="14" t="s">
        <v>269</v>
      </c>
      <c r="G63" s="14" t="s">
        <v>116</v>
      </c>
      <c r="H63" s="14" t="s">
        <v>153</v>
      </c>
      <c r="I63" s="15" t="s">
        <v>154</v>
      </c>
      <c r="J63" s="13" t="s">
        <v>155</v>
      </c>
      <c r="K63" s="13">
        <v>6</v>
      </c>
      <c r="L63" s="13">
        <v>3</v>
      </c>
      <c r="M63" s="11"/>
      <c r="N63" s="16">
        <v>65.09</v>
      </c>
      <c r="O63" s="16">
        <f t="shared" si="1"/>
        <v>0</v>
      </c>
      <c r="P63" s="38"/>
    </row>
    <row r="64" spans="2:16" s="5" customFormat="1" ht="17.7" customHeight="1" x14ac:dyDescent="0.2">
      <c r="B64" s="13" t="s">
        <v>14</v>
      </c>
      <c r="C64" s="13" t="s">
        <v>156</v>
      </c>
      <c r="D64" s="13" t="s">
        <v>157</v>
      </c>
      <c r="E64" s="14">
        <v>7898212287561</v>
      </c>
      <c r="F64" s="14" t="s">
        <v>269</v>
      </c>
      <c r="G64" s="14" t="s">
        <v>116</v>
      </c>
      <c r="H64" s="14" t="s">
        <v>153</v>
      </c>
      <c r="I64" s="15" t="s">
        <v>154</v>
      </c>
      <c r="J64" s="13" t="s">
        <v>158</v>
      </c>
      <c r="K64" s="13">
        <v>6</v>
      </c>
      <c r="L64" s="13">
        <v>3</v>
      </c>
      <c r="M64" s="11"/>
      <c r="N64" s="16">
        <v>36.19</v>
      </c>
      <c r="O64" s="16">
        <f t="shared" si="1"/>
        <v>0</v>
      </c>
      <c r="P64" s="38"/>
    </row>
    <row r="65" spans="2:16" s="5" customFormat="1" ht="17.7" customHeight="1" x14ac:dyDescent="0.2">
      <c r="B65" s="13" t="s">
        <v>14</v>
      </c>
      <c r="C65" s="13" t="s">
        <v>189</v>
      </c>
      <c r="D65" s="13" t="s">
        <v>190</v>
      </c>
      <c r="E65" s="14">
        <v>7898212285826</v>
      </c>
      <c r="F65" s="14" t="s">
        <v>269</v>
      </c>
      <c r="G65" s="14" t="s">
        <v>116</v>
      </c>
      <c r="H65" s="14" t="s">
        <v>153</v>
      </c>
      <c r="I65" s="15" t="s">
        <v>188</v>
      </c>
      <c r="J65" s="13" t="s">
        <v>155</v>
      </c>
      <c r="K65" s="13">
        <v>6</v>
      </c>
      <c r="L65" s="13">
        <v>3</v>
      </c>
      <c r="M65" s="11"/>
      <c r="N65" s="16">
        <v>55.43</v>
      </c>
      <c r="O65" s="16">
        <f t="shared" si="1"/>
        <v>0</v>
      </c>
      <c r="P65" s="38"/>
    </row>
    <row r="66" spans="2:16" s="5" customFormat="1" ht="17.7" customHeight="1" x14ac:dyDescent="0.2">
      <c r="B66" s="13" t="s">
        <v>14</v>
      </c>
      <c r="C66" s="13" t="s">
        <v>186</v>
      </c>
      <c r="D66" s="13" t="s">
        <v>187</v>
      </c>
      <c r="E66" s="14">
        <v>7898212285819</v>
      </c>
      <c r="F66" s="14" t="s">
        <v>269</v>
      </c>
      <c r="G66" s="14" t="s">
        <v>116</v>
      </c>
      <c r="H66" s="14" t="s">
        <v>153</v>
      </c>
      <c r="I66" s="15" t="s">
        <v>188</v>
      </c>
      <c r="J66" s="13" t="s">
        <v>158</v>
      </c>
      <c r="K66" s="13">
        <v>6</v>
      </c>
      <c r="L66" s="13">
        <v>3</v>
      </c>
      <c r="M66" s="11"/>
      <c r="N66" s="16">
        <v>30.8</v>
      </c>
      <c r="O66" s="16">
        <f t="shared" si="1"/>
        <v>0</v>
      </c>
      <c r="P66" s="38"/>
    </row>
    <row r="67" spans="2:16" s="5" customFormat="1" ht="17.7" customHeight="1" x14ac:dyDescent="0.2">
      <c r="B67" s="13" t="s">
        <v>14</v>
      </c>
      <c r="C67" s="13" t="s">
        <v>196</v>
      </c>
      <c r="D67" s="13" t="s">
        <v>197</v>
      </c>
      <c r="E67" s="14">
        <v>7898212284867</v>
      </c>
      <c r="F67" s="14" t="s">
        <v>269</v>
      </c>
      <c r="G67" s="14" t="s">
        <v>116</v>
      </c>
      <c r="H67" s="14" t="s">
        <v>153</v>
      </c>
      <c r="I67" s="15" t="s">
        <v>198</v>
      </c>
      <c r="J67" s="13" t="s">
        <v>158</v>
      </c>
      <c r="K67" s="13">
        <v>6</v>
      </c>
      <c r="L67" s="13">
        <v>3</v>
      </c>
      <c r="M67" s="11"/>
      <c r="N67" s="16">
        <v>38.47</v>
      </c>
      <c r="O67" s="16">
        <f t="shared" si="1"/>
        <v>0</v>
      </c>
      <c r="P67" s="38"/>
    </row>
    <row r="68" spans="2:16" s="5" customFormat="1" ht="17.7" customHeight="1" x14ac:dyDescent="0.2">
      <c r="B68" s="13" t="s">
        <v>14</v>
      </c>
      <c r="C68" s="13" t="s">
        <v>194</v>
      </c>
      <c r="D68" s="13" t="s">
        <v>195</v>
      </c>
      <c r="E68" s="14">
        <v>7898212288100</v>
      </c>
      <c r="F68" s="14" t="s">
        <v>269</v>
      </c>
      <c r="G68" s="14" t="s">
        <v>116</v>
      </c>
      <c r="H68" s="14" t="s">
        <v>153</v>
      </c>
      <c r="I68" s="15" t="s">
        <v>193</v>
      </c>
      <c r="J68" s="13" t="s">
        <v>155</v>
      </c>
      <c r="K68" s="13">
        <v>6</v>
      </c>
      <c r="L68" s="13">
        <v>3</v>
      </c>
      <c r="M68" s="11"/>
      <c r="N68" s="16">
        <v>48.33</v>
      </c>
      <c r="O68" s="16">
        <f t="shared" si="1"/>
        <v>0</v>
      </c>
      <c r="P68" s="38"/>
    </row>
    <row r="69" spans="2:16" s="5" customFormat="1" ht="17.7" customHeight="1" x14ac:dyDescent="0.2">
      <c r="B69" s="13" t="s">
        <v>14</v>
      </c>
      <c r="C69" s="13" t="s">
        <v>191</v>
      </c>
      <c r="D69" s="13" t="s">
        <v>192</v>
      </c>
      <c r="E69" s="14">
        <v>7898212282948</v>
      </c>
      <c r="F69" s="14" t="s">
        <v>269</v>
      </c>
      <c r="G69" s="14" t="s">
        <v>116</v>
      </c>
      <c r="H69" s="14" t="s">
        <v>153</v>
      </c>
      <c r="I69" s="15" t="s">
        <v>193</v>
      </c>
      <c r="J69" s="13" t="s">
        <v>158</v>
      </c>
      <c r="K69" s="13">
        <v>6</v>
      </c>
      <c r="L69" s="13">
        <v>3</v>
      </c>
      <c r="M69" s="11"/>
      <c r="N69" s="16">
        <v>29.39</v>
      </c>
      <c r="O69" s="16">
        <f t="shared" ref="O69:O91" si="2">M69*N69</f>
        <v>0</v>
      </c>
      <c r="P69" s="38"/>
    </row>
    <row r="70" spans="2:16" s="5" customFormat="1" ht="17.7" customHeight="1" x14ac:dyDescent="0.2">
      <c r="B70" s="13" t="s">
        <v>14</v>
      </c>
      <c r="C70" s="13" t="s">
        <v>181</v>
      </c>
      <c r="D70" s="13" t="s">
        <v>182</v>
      </c>
      <c r="E70" s="14">
        <v>7898212284331</v>
      </c>
      <c r="F70" s="14" t="s">
        <v>269</v>
      </c>
      <c r="G70" s="14" t="s">
        <v>116</v>
      </c>
      <c r="H70" s="14" t="s">
        <v>153</v>
      </c>
      <c r="I70" s="15" t="s">
        <v>180</v>
      </c>
      <c r="J70" s="13" t="s">
        <v>177</v>
      </c>
      <c r="K70" s="13">
        <v>6</v>
      </c>
      <c r="L70" s="13">
        <v>3</v>
      </c>
      <c r="M70" s="11"/>
      <c r="N70" s="16">
        <v>87.04</v>
      </c>
      <c r="O70" s="16">
        <f t="shared" si="2"/>
        <v>0</v>
      </c>
      <c r="P70" s="38"/>
    </row>
    <row r="71" spans="2:16" s="5" customFormat="1" ht="17.7" customHeight="1" x14ac:dyDescent="0.2">
      <c r="B71" s="13" t="s">
        <v>14</v>
      </c>
      <c r="C71" s="13" t="s">
        <v>178</v>
      </c>
      <c r="D71" s="13" t="s">
        <v>179</v>
      </c>
      <c r="E71" s="14">
        <v>7898212284348</v>
      </c>
      <c r="F71" s="14" t="s">
        <v>269</v>
      </c>
      <c r="G71" s="14" t="s">
        <v>116</v>
      </c>
      <c r="H71" s="14" t="s">
        <v>153</v>
      </c>
      <c r="I71" s="15" t="s">
        <v>180</v>
      </c>
      <c r="J71" s="13" t="s">
        <v>158</v>
      </c>
      <c r="K71" s="13">
        <v>6</v>
      </c>
      <c r="L71" s="13">
        <v>3</v>
      </c>
      <c r="M71" s="11"/>
      <c r="N71" s="16">
        <v>45.55</v>
      </c>
      <c r="O71" s="16">
        <f t="shared" si="2"/>
        <v>0</v>
      </c>
      <c r="P71" s="38"/>
    </row>
    <row r="72" spans="2:16" s="5" customFormat="1" ht="17.7" customHeight="1" x14ac:dyDescent="0.2">
      <c r="B72" s="13" t="s">
        <v>14</v>
      </c>
      <c r="C72" s="13" t="s">
        <v>172</v>
      </c>
      <c r="D72" s="13" t="s">
        <v>173</v>
      </c>
      <c r="E72" s="14">
        <v>7898212287196</v>
      </c>
      <c r="F72" s="14" t="s">
        <v>272</v>
      </c>
      <c r="G72" s="14" t="s">
        <v>116</v>
      </c>
      <c r="H72" s="14" t="s">
        <v>153</v>
      </c>
      <c r="I72" s="15" t="s">
        <v>171</v>
      </c>
      <c r="J72" s="13" t="s">
        <v>155</v>
      </c>
      <c r="K72" s="13">
        <v>6</v>
      </c>
      <c r="L72" s="13">
        <v>3</v>
      </c>
      <c r="M72" s="11"/>
      <c r="N72" s="16">
        <v>62.48</v>
      </c>
      <c r="O72" s="16">
        <f t="shared" si="2"/>
        <v>0</v>
      </c>
      <c r="P72" s="38"/>
    </row>
    <row r="73" spans="2:16" s="5" customFormat="1" ht="17.7" customHeight="1" x14ac:dyDescent="0.2">
      <c r="B73" s="13" t="s">
        <v>14</v>
      </c>
      <c r="C73" s="13" t="s">
        <v>169</v>
      </c>
      <c r="D73" s="13" t="s">
        <v>170</v>
      </c>
      <c r="E73" s="14">
        <v>7898212287189</v>
      </c>
      <c r="F73" s="14" t="s">
        <v>272</v>
      </c>
      <c r="G73" s="14" t="s">
        <v>116</v>
      </c>
      <c r="H73" s="14" t="s">
        <v>153</v>
      </c>
      <c r="I73" s="15" t="s">
        <v>171</v>
      </c>
      <c r="J73" s="13" t="s">
        <v>158</v>
      </c>
      <c r="K73" s="13">
        <v>6</v>
      </c>
      <c r="L73" s="13">
        <v>3</v>
      </c>
      <c r="M73" s="11"/>
      <c r="N73" s="16">
        <v>35.53</v>
      </c>
      <c r="O73" s="16">
        <f t="shared" si="2"/>
        <v>0</v>
      </c>
      <c r="P73" s="38"/>
    </row>
    <row r="74" spans="2:16" s="5" customFormat="1" ht="17.7" customHeight="1" x14ac:dyDescent="0.2">
      <c r="B74" s="13" t="s">
        <v>14</v>
      </c>
      <c r="C74" s="13" t="s">
        <v>162</v>
      </c>
      <c r="D74" s="13" t="s">
        <v>163</v>
      </c>
      <c r="E74" s="14">
        <v>7898212287394</v>
      </c>
      <c r="F74" s="14" t="s">
        <v>269</v>
      </c>
      <c r="G74" s="14" t="s">
        <v>116</v>
      </c>
      <c r="H74" s="14" t="s">
        <v>153</v>
      </c>
      <c r="I74" s="15" t="s">
        <v>161</v>
      </c>
      <c r="J74" s="13" t="s">
        <v>155</v>
      </c>
      <c r="K74" s="13">
        <v>6</v>
      </c>
      <c r="L74" s="13">
        <v>3</v>
      </c>
      <c r="M74" s="11"/>
      <c r="N74" s="16">
        <v>87.38</v>
      </c>
      <c r="O74" s="16">
        <f t="shared" si="2"/>
        <v>0</v>
      </c>
      <c r="P74" s="38"/>
    </row>
    <row r="75" spans="2:16" s="5" customFormat="1" ht="17.7" customHeight="1" x14ac:dyDescent="0.2">
      <c r="B75" s="13" t="s">
        <v>14</v>
      </c>
      <c r="C75" s="13" t="s">
        <v>159</v>
      </c>
      <c r="D75" s="13" t="s">
        <v>160</v>
      </c>
      <c r="E75" s="14">
        <v>7898212287400</v>
      </c>
      <c r="F75" s="14" t="s">
        <v>269</v>
      </c>
      <c r="G75" s="14" t="s">
        <v>116</v>
      </c>
      <c r="H75" s="14" t="s">
        <v>153</v>
      </c>
      <c r="I75" s="15" t="s">
        <v>161</v>
      </c>
      <c r="J75" s="13" t="s">
        <v>158</v>
      </c>
      <c r="K75" s="13">
        <v>6</v>
      </c>
      <c r="L75" s="13">
        <v>3</v>
      </c>
      <c r="M75" s="11"/>
      <c r="N75" s="16">
        <v>49.48</v>
      </c>
      <c r="O75" s="16">
        <f t="shared" si="2"/>
        <v>0</v>
      </c>
      <c r="P75" s="38"/>
    </row>
    <row r="76" spans="2:16" s="5" customFormat="1" ht="17.7" customHeight="1" x14ac:dyDescent="0.2">
      <c r="B76" s="13" t="s">
        <v>14</v>
      </c>
      <c r="C76" s="13" t="s">
        <v>174</v>
      </c>
      <c r="D76" s="13" t="s">
        <v>175</v>
      </c>
      <c r="E76" s="14">
        <v>7898212286014</v>
      </c>
      <c r="F76" s="14" t="s">
        <v>269</v>
      </c>
      <c r="G76" s="14" t="s">
        <v>116</v>
      </c>
      <c r="H76" s="14" t="s">
        <v>153</v>
      </c>
      <c r="I76" s="15" t="s">
        <v>176</v>
      </c>
      <c r="J76" s="13" t="s">
        <v>158</v>
      </c>
      <c r="K76" s="13">
        <v>6</v>
      </c>
      <c r="L76" s="13">
        <v>3</v>
      </c>
      <c r="M76" s="11"/>
      <c r="N76" s="16">
        <v>50.02</v>
      </c>
      <c r="O76" s="16">
        <f t="shared" si="2"/>
        <v>0</v>
      </c>
      <c r="P76" s="38"/>
    </row>
    <row r="77" spans="2:16" s="5" customFormat="1" ht="17.7" customHeight="1" x14ac:dyDescent="0.2">
      <c r="B77" s="13" t="s">
        <v>14</v>
      </c>
      <c r="C77" s="13" t="s">
        <v>183</v>
      </c>
      <c r="D77" s="13" t="s">
        <v>184</v>
      </c>
      <c r="E77" s="14">
        <v>7898212285499</v>
      </c>
      <c r="F77" s="14" t="s">
        <v>269</v>
      </c>
      <c r="G77" s="14" t="s">
        <v>116</v>
      </c>
      <c r="H77" s="14" t="s">
        <v>153</v>
      </c>
      <c r="I77" s="15" t="s">
        <v>185</v>
      </c>
      <c r="J77" s="13" t="s">
        <v>158</v>
      </c>
      <c r="K77" s="13">
        <v>6</v>
      </c>
      <c r="L77" s="13">
        <v>3</v>
      </c>
      <c r="M77" s="11"/>
      <c r="N77" s="16">
        <v>45.55</v>
      </c>
      <c r="O77" s="16">
        <f t="shared" si="2"/>
        <v>0</v>
      </c>
      <c r="P77" s="38"/>
    </row>
    <row r="78" spans="2:16" s="5" customFormat="1" ht="17.7" customHeight="1" x14ac:dyDescent="0.2">
      <c r="B78" s="13" t="s">
        <v>14</v>
      </c>
      <c r="C78" s="13" t="s">
        <v>205</v>
      </c>
      <c r="D78" s="13" t="s">
        <v>206</v>
      </c>
      <c r="E78" s="14">
        <v>7898212282412</v>
      </c>
      <c r="F78" s="14" t="s">
        <v>269</v>
      </c>
      <c r="G78" s="14" t="s">
        <v>116</v>
      </c>
      <c r="H78" s="14" t="s">
        <v>201</v>
      </c>
      <c r="I78" s="15" t="s">
        <v>207</v>
      </c>
      <c r="J78" s="13" t="s">
        <v>155</v>
      </c>
      <c r="K78" s="13">
        <v>6</v>
      </c>
      <c r="L78" s="13">
        <v>3</v>
      </c>
      <c r="M78" s="11"/>
      <c r="N78" s="16">
        <v>51.14</v>
      </c>
      <c r="O78" s="16">
        <f t="shared" si="2"/>
        <v>0</v>
      </c>
      <c r="P78" s="38"/>
    </row>
    <row r="79" spans="2:16" s="5" customFormat="1" ht="17.7" customHeight="1" x14ac:dyDescent="0.2">
      <c r="B79" s="13" t="s">
        <v>14</v>
      </c>
      <c r="C79" s="13" t="s">
        <v>199</v>
      </c>
      <c r="D79" s="13" t="s">
        <v>200</v>
      </c>
      <c r="E79" s="14">
        <v>7898212282108</v>
      </c>
      <c r="F79" s="14" t="s">
        <v>269</v>
      </c>
      <c r="G79" s="14" t="s">
        <v>116</v>
      </c>
      <c r="H79" s="14" t="s">
        <v>201</v>
      </c>
      <c r="I79" s="15" t="s">
        <v>258</v>
      </c>
      <c r="J79" s="13" t="s">
        <v>158</v>
      </c>
      <c r="K79" s="13">
        <v>6</v>
      </c>
      <c r="L79" s="13">
        <v>3</v>
      </c>
      <c r="M79" s="11"/>
      <c r="N79" s="16">
        <v>35.39</v>
      </c>
      <c r="O79" s="16">
        <f t="shared" si="2"/>
        <v>0</v>
      </c>
      <c r="P79" s="38"/>
    </row>
    <row r="80" spans="2:16" s="5" customFormat="1" ht="17.7" customHeight="1" x14ac:dyDescent="0.2">
      <c r="B80" s="13" t="s">
        <v>14</v>
      </c>
      <c r="C80" s="13" t="s">
        <v>202</v>
      </c>
      <c r="D80" s="13" t="s">
        <v>203</v>
      </c>
      <c r="E80" s="14">
        <v>7898212287202</v>
      </c>
      <c r="F80" s="14" t="s">
        <v>272</v>
      </c>
      <c r="G80" s="14" t="s">
        <v>116</v>
      </c>
      <c r="H80" s="14" t="s">
        <v>201</v>
      </c>
      <c r="I80" s="15" t="s">
        <v>204</v>
      </c>
      <c r="J80" s="13" t="s">
        <v>158</v>
      </c>
      <c r="K80" s="13">
        <v>6</v>
      </c>
      <c r="L80" s="13">
        <v>3</v>
      </c>
      <c r="M80" s="11"/>
      <c r="N80" s="16">
        <v>36.93</v>
      </c>
      <c r="O80" s="16">
        <f t="shared" si="2"/>
        <v>0</v>
      </c>
      <c r="P80" s="38"/>
    </row>
    <row r="81" spans="2:16" s="5" customFormat="1" ht="17.7" customHeight="1" x14ac:dyDescent="0.2">
      <c r="B81" s="13" t="s">
        <v>14</v>
      </c>
      <c r="C81" s="13" t="s">
        <v>210</v>
      </c>
      <c r="D81" s="13" t="s">
        <v>211</v>
      </c>
      <c r="E81" s="14">
        <v>7898212282900</v>
      </c>
      <c r="F81" s="14" t="s">
        <v>271</v>
      </c>
      <c r="G81" s="14" t="s">
        <v>116</v>
      </c>
      <c r="H81" s="14" t="s">
        <v>208</v>
      </c>
      <c r="I81" s="15" t="s">
        <v>212</v>
      </c>
      <c r="J81" s="13" t="s">
        <v>209</v>
      </c>
      <c r="K81" s="13">
        <v>6</v>
      </c>
      <c r="L81" s="13">
        <v>3</v>
      </c>
      <c r="M81" s="11"/>
      <c r="N81" s="16">
        <v>30.61</v>
      </c>
      <c r="O81" s="16">
        <f t="shared" si="2"/>
        <v>0</v>
      </c>
      <c r="P81" s="38"/>
    </row>
    <row r="82" spans="2:16" s="5" customFormat="1" ht="17.7" customHeight="1" x14ac:dyDescent="0.2">
      <c r="B82" s="13" t="s">
        <v>14</v>
      </c>
      <c r="C82" s="13" t="s">
        <v>222</v>
      </c>
      <c r="D82" s="13" t="s">
        <v>223</v>
      </c>
      <c r="E82" s="14">
        <v>7898212286458</v>
      </c>
      <c r="F82" s="14" t="s">
        <v>270</v>
      </c>
      <c r="G82" s="14" t="s">
        <v>116</v>
      </c>
      <c r="H82" s="14" t="s">
        <v>215</v>
      </c>
      <c r="I82" s="15" t="s">
        <v>224</v>
      </c>
      <c r="J82" s="13" t="s">
        <v>132</v>
      </c>
      <c r="K82" s="13">
        <v>6</v>
      </c>
      <c r="L82" s="13">
        <v>3</v>
      </c>
      <c r="M82" s="11"/>
      <c r="N82" s="16">
        <v>30.05</v>
      </c>
      <c r="O82" s="16">
        <f t="shared" si="2"/>
        <v>0</v>
      </c>
      <c r="P82" s="38"/>
    </row>
    <row r="83" spans="2:16" s="5" customFormat="1" ht="17.7" customHeight="1" x14ac:dyDescent="0.2">
      <c r="B83" s="13" t="s">
        <v>14</v>
      </c>
      <c r="C83" s="13" t="s">
        <v>213</v>
      </c>
      <c r="D83" s="13" t="s">
        <v>214</v>
      </c>
      <c r="E83" s="14">
        <v>7898212287066</v>
      </c>
      <c r="F83" s="14" t="s">
        <v>271</v>
      </c>
      <c r="G83" s="14" t="s">
        <v>116</v>
      </c>
      <c r="H83" s="14" t="s">
        <v>215</v>
      </c>
      <c r="I83" s="15" t="s">
        <v>216</v>
      </c>
      <c r="J83" s="13" t="s">
        <v>217</v>
      </c>
      <c r="K83" s="13">
        <v>6</v>
      </c>
      <c r="L83" s="13">
        <v>3</v>
      </c>
      <c r="M83" s="11"/>
      <c r="N83" s="16">
        <v>38.770000000000003</v>
      </c>
      <c r="O83" s="16">
        <f t="shared" si="2"/>
        <v>0</v>
      </c>
      <c r="P83" s="38"/>
    </row>
    <row r="84" spans="2:16" s="5" customFormat="1" ht="17.7" customHeight="1" x14ac:dyDescent="0.2">
      <c r="B84" s="13" t="s">
        <v>14</v>
      </c>
      <c r="C84" s="13" t="s">
        <v>228</v>
      </c>
      <c r="D84" s="13" t="s">
        <v>229</v>
      </c>
      <c r="E84" s="14">
        <v>7898212282405</v>
      </c>
      <c r="F84" s="14" t="s">
        <v>271</v>
      </c>
      <c r="G84" s="14" t="s">
        <v>116</v>
      </c>
      <c r="H84" s="14" t="s">
        <v>215</v>
      </c>
      <c r="I84" s="15" t="s">
        <v>227</v>
      </c>
      <c r="J84" s="13" t="s">
        <v>155</v>
      </c>
      <c r="K84" s="13">
        <v>6</v>
      </c>
      <c r="L84" s="13">
        <v>3</v>
      </c>
      <c r="M84" s="11"/>
      <c r="N84" s="16">
        <v>59.22</v>
      </c>
      <c r="O84" s="16">
        <f t="shared" si="2"/>
        <v>0</v>
      </c>
      <c r="P84" s="38"/>
    </row>
    <row r="85" spans="2:16" s="5" customFormat="1" ht="17.7" customHeight="1" x14ac:dyDescent="0.2">
      <c r="B85" s="13" t="s">
        <v>14</v>
      </c>
      <c r="C85" s="13" t="s">
        <v>225</v>
      </c>
      <c r="D85" s="13" t="s">
        <v>226</v>
      </c>
      <c r="E85" s="14">
        <v>7898212282061</v>
      </c>
      <c r="F85" s="14" t="s">
        <v>271</v>
      </c>
      <c r="G85" s="14" t="s">
        <v>116</v>
      </c>
      <c r="H85" s="14" t="s">
        <v>215</v>
      </c>
      <c r="I85" s="15" t="s">
        <v>227</v>
      </c>
      <c r="J85" s="13" t="s">
        <v>158</v>
      </c>
      <c r="K85" s="13">
        <v>6</v>
      </c>
      <c r="L85" s="13">
        <v>3</v>
      </c>
      <c r="M85" s="11"/>
      <c r="N85" s="16">
        <v>35.090000000000003</v>
      </c>
      <c r="O85" s="16">
        <f t="shared" si="2"/>
        <v>0</v>
      </c>
      <c r="P85" s="38"/>
    </row>
    <row r="86" spans="2:16" s="5" customFormat="1" ht="17.7" customHeight="1" x14ac:dyDescent="0.2">
      <c r="B86" s="13" t="s">
        <v>14</v>
      </c>
      <c r="C86" s="13" t="s">
        <v>218</v>
      </c>
      <c r="D86" s="13" t="s">
        <v>219</v>
      </c>
      <c r="E86" s="14">
        <v>7898212285345</v>
      </c>
      <c r="F86" s="14" t="s">
        <v>271</v>
      </c>
      <c r="G86" s="14" t="s">
        <v>116</v>
      </c>
      <c r="H86" s="14" t="s">
        <v>215</v>
      </c>
      <c r="I86" s="15" t="s">
        <v>220</v>
      </c>
      <c r="J86" s="13" t="s">
        <v>221</v>
      </c>
      <c r="K86" s="13">
        <v>6</v>
      </c>
      <c r="L86" s="13">
        <v>3</v>
      </c>
      <c r="M86" s="11"/>
      <c r="N86" s="16">
        <v>41.07</v>
      </c>
      <c r="O86" s="16">
        <f t="shared" si="2"/>
        <v>0</v>
      </c>
      <c r="P86" s="38"/>
    </row>
    <row r="87" spans="2:16" s="5" customFormat="1" ht="17.7" customHeight="1" x14ac:dyDescent="0.2">
      <c r="B87" s="13" t="s">
        <v>14</v>
      </c>
      <c r="C87" s="13" t="s">
        <v>230</v>
      </c>
      <c r="D87" s="13" t="s">
        <v>231</v>
      </c>
      <c r="E87" s="14">
        <v>7898212282139</v>
      </c>
      <c r="F87" s="14" t="s">
        <v>272</v>
      </c>
      <c r="G87" s="14" t="s">
        <v>116</v>
      </c>
      <c r="H87" s="14" t="s">
        <v>215</v>
      </c>
      <c r="I87" s="15" t="s">
        <v>232</v>
      </c>
      <c r="J87" s="13" t="s">
        <v>155</v>
      </c>
      <c r="K87" s="13">
        <v>6</v>
      </c>
      <c r="L87" s="13">
        <v>3</v>
      </c>
      <c r="M87" s="11"/>
      <c r="N87" s="16">
        <v>28.88</v>
      </c>
      <c r="O87" s="16">
        <f t="shared" si="2"/>
        <v>0</v>
      </c>
      <c r="P87" s="38"/>
    </row>
    <row r="88" spans="2:16" s="5" customFormat="1" ht="17.7" customHeight="1" x14ac:dyDescent="0.2">
      <c r="B88" s="13" t="s">
        <v>14</v>
      </c>
      <c r="C88" s="13" t="s">
        <v>233</v>
      </c>
      <c r="D88" s="13" t="s">
        <v>234</v>
      </c>
      <c r="E88" s="14">
        <v>7898212283105</v>
      </c>
      <c r="F88" s="14" t="s">
        <v>272</v>
      </c>
      <c r="G88" s="14" t="s">
        <v>116</v>
      </c>
      <c r="H88" s="14" t="s">
        <v>215</v>
      </c>
      <c r="I88" s="15" t="s">
        <v>235</v>
      </c>
      <c r="J88" s="13" t="s">
        <v>155</v>
      </c>
      <c r="K88" s="13">
        <v>6</v>
      </c>
      <c r="L88" s="13">
        <v>3</v>
      </c>
      <c r="M88" s="11"/>
      <c r="N88" s="16">
        <v>37.159999999999997</v>
      </c>
      <c r="O88" s="16">
        <f t="shared" si="2"/>
        <v>0</v>
      </c>
      <c r="P88" s="38"/>
    </row>
    <row r="89" spans="2:16" s="5" customFormat="1" ht="17.7" customHeight="1" x14ac:dyDescent="0.2">
      <c r="B89" s="13" t="s">
        <v>14</v>
      </c>
      <c r="C89" s="13" t="s">
        <v>236</v>
      </c>
      <c r="D89" s="13" t="s">
        <v>237</v>
      </c>
      <c r="E89" s="14">
        <v>7898212287578</v>
      </c>
      <c r="F89" s="14" t="s">
        <v>271</v>
      </c>
      <c r="G89" s="14" t="s">
        <v>116</v>
      </c>
      <c r="H89" s="14" t="s">
        <v>215</v>
      </c>
      <c r="I89" s="15" t="s">
        <v>238</v>
      </c>
      <c r="J89" s="13" t="s">
        <v>239</v>
      </c>
      <c r="K89" s="13">
        <v>6</v>
      </c>
      <c r="L89" s="13">
        <v>3</v>
      </c>
      <c r="M89" s="11"/>
      <c r="N89" s="16">
        <v>41.32</v>
      </c>
      <c r="O89" s="16">
        <f t="shared" si="2"/>
        <v>0</v>
      </c>
      <c r="P89" s="38"/>
    </row>
    <row r="90" spans="2:16" s="5" customFormat="1" ht="17.7" customHeight="1" x14ac:dyDescent="0.2">
      <c r="B90" s="13" t="s">
        <v>14</v>
      </c>
      <c r="C90" s="13" t="s">
        <v>240</v>
      </c>
      <c r="D90" s="13" t="s">
        <v>241</v>
      </c>
      <c r="E90" s="14">
        <v>7898212282436</v>
      </c>
      <c r="F90" s="14" t="s">
        <v>271</v>
      </c>
      <c r="G90" s="14" t="s">
        <v>116</v>
      </c>
      <c r="H90" s="14" t="s">
        <v>215</v>
      </c>
      <c r="I90" s="15" t="s">
        <v>242</v>
      </c>
      <c r="J90" s="13" t="s">
        <v>243</v>
      </c>
      <c r="K90" s="13">
        <v>6</v>
      </c>
      <c r="L90" s="13">
        <v>3</v>
      </c>
      <c r="M90" s="11"/>
      <c r="N90" s="16">
        <v>47.58</v>
      </c>
      <c r="O90" s="16">
        <f t="shared" si="2"/>
        <v>0</v>
      </c>
      <c r="P90" s="38"/>
    </row>
    <row r="91" spans="2:16" s="5" customFormat="1" ht="17.7" customHeight="1" x14ac:dyDescent="0.2">
      <c r="B91" s="13" t="s">
        <v>14</v>
      </c>
      <c r="C91" s="13" t="s">
        <v>244</v>
      </c>
      <c r="D91" s="13" t="s">
        <v>245</v>
      </c>
      <c r="E91" s="14">
        <v>7898212288124</v>
      </c>
      <c r="F91" s="14" t="s">
        <v>271</v>
      </c>
      <c r="G91" s="14" t="s">
        <v>116</v>
      </c>
      <c r="H91" s="14" t="s">
        <v>215</v>
      </c>
      <c r="I91" s="15" t="s">
        <v>246</v>
      </c>
      <c r="J91" s="13" t="s">
        <v>132</v>
      </c>
      <c r="K91" s="13">
        <v>6</v>
      </c>
      <c r="L91" s="13">
        <v>3</v>
      </c>
      <c r="M91" s="11"/>
      <c r="N91" s="16">
        <v>30.65</v>
      </c>
      <c r="O91" s="16">
        <f t="shared" si="2"/>
        <v>0</v>
      </c>
      <c r="P91" s="38"/>
    </row>
    <row r="92" spans="2:16" ht="15.75" customHeight="1" x14ac:dyDescent="0.25">
      <c r="B92" s="17" t="s">
        <v>247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>SUM(M5:M91)</f>
        <v>0</v>
      </c>
      <c r="N92" s="33"/>
      <c r="O92" s="33">
        <f>SUM(O5:O91)</f>
        <v>0</v>
      </c>
      <c r="P92" s="40"/>
    </row>
    <row r="93" spans="2:16" ht="15.75" customHeight="1" x14ac:dyDescent="0.25">
      <c r="C93" s="21"/>
      <c r="D93" s="21"/>
      <c r="E93" s="22"/>
      <c r="F93" s="22"/>
      <c r="G93" s="22"/>
      <c r="H93" s="22"/>
      <c r="I93" s="21"/>
      <c r="J93" s="23"/>
      <c r="K93" s="23"/>
      <c r="L93" s="24"/>
      <c r="M93" s="23"/>
      <c r="N93" s="34"/>
      <c r="O93" s="23"/>
      <c r="P93" s="23"/>
    </row>
    <row r="94" spans="2:16" ht="15.75" customHeight="1" x14ac:dyDescent="0.25">
      <c r="O94" s="27"/>
      <c r="P94" s="27"/>
    </row>
    <row r="95" spans="2:16" ht="15.75" customHeight="1" x14ac:dyDescent="0.25">
      <c r="O95" s="28"/>
      <c r="P95" s="28"/>
    </row>
    <row r="96" spans="2:16" ht="15.75" customHeight="1" x14ac:dyDescent="0.25">
      <c r="M96" s="29"/>
      <c r="O96" s="27"/>
      <c r="P96" s="27"/>
    </row>
    <row r="97" spans="15:16" ht="15.75" customHeight="1" x14ac:dyDescent="0.25">
      <c r="O97" s="30"/>
      <c r="P97" s="30"/>
    </row>
    <row r="101" spans="15:16" ht="15.75" customHeight="1" x14ac:dyDescent="0.25">
      <c r="O101" s="27"/>
      <c r="P101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2:O2"/>
    <mergeCell ref="B1:O1"/>
  </mergeCells>
  <pageMargins left="0" right="0" top="0" bottom="0" header="0" footer="0"/>
  <pageSetup paperSize="9" scale="51" fitToHeight="0" orientation="landscape" r:id="rId1"/>
  <ignoredErrors>
    <ignoredError sqref="E62 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DE PREÇOS</vt:lpstr>
      <vt:lpstr>'TABELA DE PREÇOS'!Area_de_impressao</vt:lpstr>
      <vt:lpstr>'TABELA DE PREÇOS'!Titulos_de_impressao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Morales</dc:creator>
  <cp:lastModifiedBy>Wellington Bezerra</cp:lastModifiedBy>
  <cp:lastPrinted>2025-04-28T22:41:05Z</cp:lastPrinted>
  <dcterms:created xsi:type="dcterms:W3CDTF">2025-04-04T19:18:08Z</dcterms:created>
  <dcterms:modified xsi:type="dcterms:W3CDTF">2026-07-01T16:09:31Z</dcterms:modified>
</cp:coreProperties>
</file>