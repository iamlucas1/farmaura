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0050" activeTab="3"/>
  </bookViews>
  <sheets>
    <sheet name="TRATAMENTO" sheetId="2" r:id="rId1"/>
    <sheet name="COLORAÇÃO" sheetId="3" r:id="rId2"/>
    <sheet name="KIT COLOR" sheetId="4" r:id="rId3"/>
    <sheet name="TONALIZANTE" sheetId="5" r:id="rId4"/>
  </sheets>
  <definedNames>
    <definedName name="_xlnm.Print_Area" localSheetId="0">TRATAMENTO!$A$1:$O$94</definedName>
  </definedNames>
  <calcPr calcId="145621"/>
</workbook>
</file>

<file path=xl/calcChain.xml><?xml version="1.0" encoding="utf-8"?>
<calcChain xmlns="http://schemas.openxmlformats.org/spreadsheetml/2006/main">
  <c r="O1" i="2" l="1"/>
  <c r="F25" i="5" l="1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6" i="5" l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6" i="4" l="1"/>
  <c r="F54" i="3"/>
</calcChain>
</file>

<file path=xl/sharedStrings.xml><?xml version="1.0" encoding="utf-8"?>
<sst xmlns="http://schemas.openxmlformats.org/spreadsheetml/2006/main" count="368" uniqueCount="242">
  <si>
    <t>CATALOGO DE PRODUTOS</t>
  </si>
  <si>
    <t>AMETISTA</t>
  </si>
  <si>
    <t>LISO COM FORÇA</t>
  </si>
  <si>
    <t>Descrição</t>
  </si>
  <si>
    <t>Cod.</t>
  </si>
  <si>
    <t>Cont.</t>
  </si>
  <si>
    <t>Qtd</t>
  </si>
  <si>
    <t>Valor</t>
  </si>
  <si>
    <t>Sh.300ml</t>
  </si>
  <si>
    <t>Sh. 300ml</t>
  </si>
  <si>
    <t>Cond.300ml</t>
  </si>
  <si>
    <t>Cond. 300ml</t>
  </si>
  <si>
    <t>Sh. 500ml</t>
  </si>
  <si>
    <t>Masc.300gr</t>
  </si>
  <si>
    <t>Fluido 120ml</t>
  </si>
  <si>
    <t>Cond. 500ml</t>
  </si>
  <si>
    <t>BANANEIRA</t>
  </si>
  <si>
    <t>Máscara 300gr</t>
  </si>
  <si>
    <t>Masc. 500gr</t>
  </si>
  <si>
    <t>Máscara 500g</t>
  </si>
  <si>
    <t>Sh.300</t>
  </si>
  <si>
    <t>Finalizador</t>
  </si>
  <si>
    <t>Nectavita 35ml</t>
  </si>
  <si>
    <t>Sh.500</t>
  </si>
  <si>
    <t>MANDIOCA</t>
  </si>
  <si>
    <t>Cond.300</t>
  </si>
  <si>
    <t>Cond.500</t>
  </si>
  <si>
    <t>QUINA ROSA</t>
  </si>
  <si>
    <t>Masc.500</t>
  </si>
  <si>
    <t>Sh.1 Litro</t>
  </si>
  <si>
    <t>BENDITO LOIRO</t>
  </si>
  <si>
    <t>Cond. 1 Litro</t>
  </si>
  <si>
    <t>Sh.500ml</t>
  </si>
  <si>
    <t>Masc.900gr</t>
  </si>
  <si>
    <t>Leave in 150gr</t>
  </si>
  <si>
    <t>Cond.500ml</t>
  </si>
  <si>
    <t>Leave in 240gr</t>
  </si>
  <si>
    <t>Ativador de cachos 240gr</t>
  </si>
  <si>
    <t>Masc.500gr</t>
  </si>
  <si>
    <t>Serum 35ml</t>
  </si>
  <si>
    <t>Fluido 150ml</t>
  </si>
  <si>
    <t>Dose Concentrada</t>
  </si>
  <si>
    <t>S.O.S VERÃO</t>
  </si>
  <si>
    <t>Proteico 150ml</t>
  </si>
  <si>
    <t>Rep.Mandioca</t>
  </si>
  <si>
    <t xml:space="preserve"> CACHOS SIM</t>
  </si>
  <si>
    <t>MATCHA E ALECRIM</t>
  </si>
  <si>
    <t>Leave in  240gr</t>
  </si>
  <si>
    <t>TUTANO</t>
  </si>
  <si>
    <t>Cond. 300 ml</t>
  </si>
  <si>
    <t>Sh.300ml antirrediduos</t>
  </si>
  <si>
    <t>Masc. 300gr</t>
  </si>
  <si>
    <t>Leave in 300gr</t>
  </si>
  <si>
    <t>Leave in 500gr</t>
  </si>
  <si>
    <t>Gel creme 240gr</t>
  </si>
  <si>
    <t>CAVALO FORTE</t>
  </si>
  <si>
    <t>Mascara violeta 300gr</t>
  </si>
  <si>
    <t>Mascara ultra 300gr</t>
  </si>
  <si>
    <t>MURUMURU</t>
  </si>
  <si>
    <t>Masc. 900gr</t>
  </si>
  <si>
    <t>Creme Silicone 150ml</t>
  </si>
  <si>
    <t>Creme Silicone 240ml</t>
  </si>
  <si>
    <t>Reparador de pontas 35ml</t>
  </si>
  <si>
    <t>Sh. 1lt</t>
  </si>
  <si>
    <t>SUPERMASCARAS</t>
  </si>
  <si>
    <t>Brilho espelhado 240gr</t>
  </si>
  <si>
    <t>Cond. 1lt</t>
  </si>
  <si>
    <t>Disciplinante antifrizz 240gr</t>
  </si>
  <si>
    <t>Aceleradora de força 240gr</t>
  </si>
  <si>
    <t>REFIS</t>
  </si>
  <si>
    <t>Complexo 35ml</t>
  </si>
  <si>
    <t>Selante 35ml</t>
  </si>
  <si>
    <t>Cond.Cavalo 250ml</t>
  </si>
  <si>
    <t>Nectar concentrado 35ml</t>
  </si>
  <si>
    <t>Masc.Cavalo 250ml</t>
  </si>
  <si>
    <t>Tonico 120ml</t>
  </si>
  <si>
    <t>Seiva Murumuru 35ml</t>
  </si>
  <si>
    <t>Shampoo Cavalo 250ml</t>
  </si>
  <si>
    <t>ENCORPA</t>
  </si>
  <si>
    <t>Cond.Mandioca 250ml</t>
  </si>
  <si>
    <t>Masc.Mandioca 250ml</t>
  </si>
  <si>
    <t>Shampoo Mandioca 250ml</t>
  </si>
  <si>
    <t>HIDRA CAVALO</t>
  </si>
  <si>
    <t>Fluido 150gr</t>
  </si>
  <si>
    <t xml:space="preserve">Pomada </t>
  </si>
  <si>
    <t>PRA ELE</t>
  </si>
  <si>
    <t>Protetor 150gr</t>
  </si>
  <si>
    <t>Sh Anticaspa</t>
  </si>
  <si>
    <t>Sh Cab. Barba</t>
  </si>
  <si>
    <t>Serum 100ml</t>
  </si>
  <si>
    <t>leave in  150gr</t>
  </si>
  <si>
    <t>INFUSÃO DE OLEOS</t>
  </si>
  <si>
    <t>Pomada pra ele</t>
  </si>
  <si>
    <t>PÓS PROGRESSIVA</t>
  </si>
  <si>
    <t>Finalizador 100ml</t>
  </si>
  <si>
    <t>JABORANDI</t>
  </si>
  <si>
    <t>PROMOPACKS</t>
  </si>
  <si>
    <t>Cavalo 500</t>
  </si>
  <si>
    <t>ACIDIFICANTE</t>
  </si>
  <si>
    <t>Fluido 200ml</t>
  </si>
  <si>
    <t>Hidra Cavalo 500+300</t>
  </si>
  <si>
    <t>Nectavita</t>
  </si>
  <si>
    <t>Sos Verão</t>
  </si>
  <si>
    <t>SE CURVE</t>
  </si>
  <si>
    <t>Masc.3 manteigas</t>
  </si>
  <si>
    <t>Masc.Poder oleos</t>
  </si>
  <si>
    <t>Masc.Hidronutrição</t>
  </si>
  <si>
    <t>Goma Texturizada</t>
  </si>
  <si>
    <t>Modelador de cacho</t>
  </si>
  <si>
    <t>Finalizador Crespo</t>
  </si>
  <si>
    <t>Serum do Poder</t>
  </si>
  <si>
    <t>Curva e Cola</t>
  </si>
  <si>
    <t>Supermascara 240gr</t>
  </si>
  <si>
    <t>TOTAL</t>
  </si>
  <si>
    <t>Cavalo 300</t>
  </si>
  <si>
    <t>Mandioca 300</t>
  </si>
  <si>
    <t>Mandioca 500</t>
  </si>
  <si>
    <t>Murumuru 300</t>
  </si>
  <si>
    <t>Murumuru 500</t>
  </si>
  <si>
    <t>COD</t>
  </si>
  <si>
    <t>DESCRIÇÃO</t>
  </si>
  <si>
    <t>QTD</t>
  </si>
  <si>
    <t>VLR. UNT</t>
  </si>
  <si>
    <t>VLR. TOTAL</t>
  </si>
  <si>
    <t>COLORACAO A 1.0 PRETO AZULADO</t>
  </si>
  <si>
    <t>COLORACAO A 2.0 PRETO</t>
  </si>
  <si>
    <t>COLORACAO A 3.0 CASTANHO ESCURO</t>
  </si>
  <si>
    <t>COLORACAO A 4.0 CASTANHO MEDIO</t>
  </si>
  <si>
    <t>COLORACAO A 5.0 CASTANHO CLARO</t>
  </si>
  <si>
    <t>COLORACAO A 6.0 LOURO ESCURO</t>
  </si>
  <si>
    <t>COLORACAO A 7.0 LOURO MEDIO</t>
  </si>
  <si>
    <t>COLORACAO A 8.0 LOURO CLARO</t>
  </si>
  <si>
    <t>COLORACAO A 9.0 LOURO MUITO CLARO</t>
  </si>
  <si>
    <t>COLORACAO A10.0 LOURO CLARISSIMO</t>
  </si>
  <si>
    <t>COLORACAO B 5.1 CAST CLARO ACINZENTAD</t>
  </si>
  <si>
    <t>COLORACAO B 6.1 LOURO ESCURO ACINZENT</t>
  </si>
  <si>
    <t>COLORACAO B 7.1 LOURO MEDIO ACINZENTA</t>
  </si>
  <si>
    <t>COLORACAO B 8.1 LOURO CLARO ACINZENTA</t>
  </si>
  <si>
    <t>COLORACAO B 9.1 LOURO MUIT CLARO ACIN</t>
  </si>
  <si>
    <t>COLORACAO B 9.34 LOURO MUITO CLARO DOURA</t>
  </si>
  <si>
    <t>COLORACAO C 7.3 LOURO MEDIO DOURADO</t>
  </si>
  <si>
    <t>COLORACAO C 8.3 LOURO CLARO DOURADO</t>
  </si>
  <si>
    <t>COLORACAO D 0.2 ITENSIFICADOR VIOLETA</t>
  </si>
  <si>
    <t>COLORACAO D 0.43 INTENSIFI. COBRE DOURAD</t>
  </si>
  <si>
    <t>COLORACAO D 7.31 LOURO MEDIO BEGE</t>
  </si>
  <si>
    <t>COLORACAO D 8.31 LOURO CLARO BEGE</t>
  </si>
  <si>
    <t>COLORACAO E  9.21 LOURO MUIT CLAR PERO</t>
  </si>
  <si>
    <t>COLORACAO E 10.21 LOURO CLARISSIMO PE</t>
  </si>
  <si>
    <t>COLORACAO F 5.7 CASTANHO CLARO MARRON</t>
  </si>
  <si>
    <t>COLORACAO F 6.7 LOURO ESCURO MARRON</t>
  </si>
  <si>
    <t>COLORACAO F 7.7 LOURO MEDIO MARRON</t>
  </si>
  <si>
    <t>COLORACAO G 7.44 LOUR MED COBRE INTEN</t>
  </si>
  <si>
    <t xml:space="preserve">COLORACAO G 8.34 LOURO CLARO DOURADO </t>
  </si>
  <si>
    <t>COLORACAO G 8.40 LOURO CLARO ACOBREADO</t>
  </si>
  <si>
    <t>COLORACAO J 55.62 CAST CLA VER VIO ES</t>
  </si>
  <si>
    <t>COLORACAO J 66.46 VERM ESPECIAL CEREJ</t>
  </si>
  <si>
    <t>COLORACAO K 5.20 CASTAN CLARO VIOLINE</t>
  </si>
  <si>
    <t xml:space="preserve">COLORACAO K 8.26 LOURO CLARO VIOLETA </t>
  </si>
  <si>
    <t>COLORACAO L 4.66 CAST MED VERM INTENS</t>
  </si>
  <si>
    <t>COLORACAO L 5.56 CAST CLARO ACAJU AVE</t>
  </si>
  <si>
    <t>COLORACAO L 6.66 LOURO ESC VERM INTEN</t>
  </si>
  <si>
    <t>COLORACAO M 0.6 INTENSIFICAD VERMELHO</t>
  </si>
  <si>
    <t>COLORACAO N 12.0 SUPER ULTRA CLAR ESP</t>
  </si>
  <si>
    <t>COLORACAO N 12.11 SUPER CINZA INTENSO</t>
  </si>
  <si>
    <t>COLORACAO N 12.21 SUPERCLAREAD PEROLA</t>
  </si>
  <si>
    <t>COLORACAO O 0.11 CORRETOR CINZA</t>
  </si>
  <si>
    <t>COLORACAO O 6.26 LOURO ESCU VIOLET VERM</t>
  </si>
  <si>
    <t>COLORACAO O 6.74 LOURO ESCU MARROM ACOBR</t>
  </si>
  <si>
    <t>COLORACAO O 7.34 CARAMELO</t>
  </si>
  <si>
    <t>OX CREMOSA 20VOL 75ML</t>
  </si>
  <si>
    <t>OX CREMOSA 30VOL 75ML</t>
  </si>
  <si>
    <t>OX CREMOSA 40VOL 75ML</t>
  </si>
  <si>
    <t>OX CREMOSA 20VOL 800ML</t>
  </si>
  <si>
    <t>OX CREMOSA 30VOL 800ML</t>
  </si>
  <si>
    <t>OX CREMOSA 40VOL 800ML</t>
  </si>
  <si>
    <t>PÓ DESCOLORANTE 250GR</t>
  </si>
  <si>
    <t>CONT.</t>
  </si>
  <si>
    <t>KIT COLOR PRATIC 1.0 PRETO AZULADO</t>
  </si>
  <si>
    <t xml:space="preserve">KIT COLOR PRATIC 2.0 PRETO </t>
  </si>
  <si>
    <t>KIT COLOR PRATIC 3.0 CASTANHO ESCURO</t>
  </si>
  <si>
    <t>KIT COLOR PRATIC 4.0 CASTANHO MEDIO</t>
  </si>
  <si>
    <t>KIT COLOR PRATIC 5.0 CASTANHO CLARO</t>
  </si>
  <si>
    <t>KIT COLOR PRATIC 6.0 LOURO ESCURO</t>
  </si>
  <si>
    <t>KIT COLOR PRATIC 7.0 LOURO MEDIO</t>
  </si>
  <si>
    <t>KIT COLOR PRATIC 8.0 LOURO CLARO</t>
  </si>
  <si>
    <t>KIT COLOR PRATIC 9.0 MUITO CLARO</t>
  </si>
  <si>
    <t>KIT COLOR PRATIC 5.35 CHOCOLATE PROFUNDO</t>
  </si>
  <si>
    <t xml:space="preserve">KIT COLOR PRATIC 55.62 VERMELHO VIOLINE </t>
  </si>
  <si>
    <t xml:space="preserve">KIT COLOR PRATIC 6.1 LOURO ESCURO </t>
  </si>
  <si>
    <t>KIT COLOR PRATIC 6.7 CHOCOLATE</t>
  </si>
  <si>
    <t>KIT COLOR PRATIC 8.26 MARSALA</t>
  </si>
  <si>
    <t xml:space="preserve">KIT COLOR PRATIC 66.46 VERMELHO CEREJA </t>
  </si>
  <si>
    <t>KIT COLOR PRATIC 66.66 VERMELHO INTENSO</t>
  </si>
  <si>
    <t>KIT COLOR PRATIC 7.1 LOURO MEDIO</t>
  </si>
  <si>
    <t xml:space="preserve">KIT COLOR PRATIC 7.44 LOURO MEDIO COBRE </t>
  </si>
  <si>
    <t>KIT COLOR PRATIC 7.73 CHOCOLATE DOURADO</t>
  </si>
  <si>
    <t>KIT COLOR PRATIC 8.34 LOURO CLARO DOURAD</t>
  </si>
  <si>
    <t>KIT COLOR PRATIC 12.1 SUPERCLAREADOR CIN</t>
  </si>
  <si>
    <t>KIT COLOR PRATIC 12.21 SUPERCLAREADOR PE</t>
  </si>
  <si>
    <t>KIT COLOR PRATIC 4.66 CASTANHO MEDIO VER</t>
  </si>
  <si>
    <t>KIT COLOR PRATIC 6.26 MARSALA PROFUNDO</t>
  </si>
  <si>
    <t>CONT</t>
  </si>
  <si>
    <t>TONALIZANTE 100 PRETO AZULADO</t>
  </si>
  <si>
    <t>TONALIZANTE 200 PRETO</t>
  </si>
  <si>
    <t>TONALIZANTE 300 CASTANHO ESCURO</t>
  </si>
  <si>
    <t>TONALIZANTE 400 CASTANHO MEDIO</t>
  </si>
  <si>
    <t>TONALIZANTE 500 CASTANHO CLARO</t>
  </si>
  <si>
    <t>TONALIZANTE 600 LOURO ESCURO</t>
  </si>
  <si>
    <t>TONALIZANTE 700 LOURO MEDIO</t>
  </si>
  <si>
    <t>TONALIZANTE 800 LOURO CLARO</t>
  </si>
  <si>
    <t>TONALIZANTE 610 LOURO ESCURO ACIZENTADO</t>
  </si>
  <si>
    <t>TONALIZANTE 810 LOURO CLARO ACINZENTADO</t>
  </si>
  <si>
    <t>TONALIZANTE 530 CASTANHO CLARO DOURADO</t>
  </si>
  <si>
    <t>TONALIZANTE 630 LOURO ESCURO DOURADO</t>
  </si>
  <si>
    <t>TONALIZANTE I 834 LOURO CLARO DOURADO</t>
  </si>
  <si>
    <t>TONALIZANTE 570 CASTANHO CLARO MARROM</t>
  </si>
  <si>
    <t>TONALIZANTE 670 LOURO ESCURO MARROM</t>
  </si>
  <si>
    <t>TONALIZANTE 770 LOURO MEDIO MARROM</t>
  </si>
  <si>
    <t>TONALIZANTE 5562 CAST CLAR VERM VIOL ESP</t>
  </si>
  <si>
    <t>TONALIZANTE 6646 VERMELHO ESPECIAL CEREJ</t>
  </si>
  <si>
    <t>TONALIZANTE 466 CAST. MED VERM. INTENSO</t>
  </si>
  <si>
    <t>TONALIZANTE I 826 LOURO CLARO VIOLETA</t>
  </si>
  <si>
    <t>TONALIZANTE 520 CASTANHO CLARO VIOLINE</t>
  </si>
  <si>
    <t>TONALIZANTE 1021 LOURO CLARISSIMO PEROLA</t>
  </si>
  <si>
    <t>TONALIZANTE 744 LOURO MEDIO COBRE</t>
  </si>
  <si>
    <t>TONALIZANTE 366 CASTANHO ESCURO VERMELHO</t>
  </si>
  <si>
    <t>MATIZA MAIS</t>
  </si>
  <si>
    <t>DOCE DE LEITE</t>
  </si>
  <si>
    <t xml:space="preserve">Hidratante Labial </t>
  </si>
  <si>
    <t>Hidratante Corporal</t>
  </si>
  <si>
    <t>Body Splash</t>
  </si>
  <si>
    <t>Esfoliante</t>
  </si>
  <si>
    <t>Creme de Pentear</t>
  </si>
  <si>
    <t>Tonico 200ml</t>
  </si>
  <si>
    <t>PRÉ TREINO</t>
  </si>
  <si>
    <t>FRIZZ CANCELADO</t>
  </si>
  <si>
    <t>Masc. 240gr</t>
  </si>
  <si>
    <t>Masc.Liquida 200ml</t>
  </si>
  <si>
    <t>Serum</t>
  </si>
  <si>
    <t>Fluido</t>
  </si>
  <si>
    <t>ACIDIFICANTE MATIZADOR</t>
  </si>
  <si>
    <t>Balm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</si>
</sst>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008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2">
    <xf numFmtId="0" fontId="0" fillId="0" borderId="0" xfId="0"/>
    <xf numFmtId="0" fontId="4" fillId="2" borderId="21" xfId="0" applyFont="1" applyFill="1" applyBorder="1"/>
    <xf numFmtId="0" fontId="4" fillId="2" borderId="22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8" fontId="4" fillId="2" borderId="9" xfId="0" applyNumberFormat="1" applyFont="1" applyFill="1" applyBorder="1"/>
    <xf numFmtId="0" fontId="4" fillId="2" borderId="8" xfId="0" applyFont="1" applyFill="1" applyBorder="1" applyAlignment="1">
      <alignment horizontal="center"/>
    </xf>
    <xf numFmtId="44" fontId="4" fillId="2" borderId="9" xfId="1" applyFont="1" applyFill="1" applyBorder="1"/>
    <xf numFmtId="0" fontId="4" fillId="2" borderId="10" xfId="0" applyFont="1" applyFill="1" applyBorder="1"/>
    <xf numFmtId="0" fontId="4" fillId="2" borderId="11" xfId="0" applyFont="1" applyFill="1" applyBorder="1" applyAlignment="1">
      <alignment horizontal="right"/>
    </xf>
    <xf numFmtId="0" fontId="4" fillId="2" borderId="11" xfId="0" applyFont="1" applyFill="1" applyBorder="1"/>
    <xf numFmtId="0" fontId="4" fillId="2" borderId="7" xfId="0" applyFont="1" applyFill="1" applyBorder="1" applyAlignment="1"/>
    <xf numFmtId="0" fontId="4" fillId="2" borderId="8" xfId="0" applyFont="1" applyFill="1" applyBorder="1" applyAlignment="1"/>
    <xf numFmtId="44" fontId="4" fillId="2" borderId="9" xfId="1" applyFont="1" applyFill="1" applyBorder="1" applyAlignment="1"/>
    <xf numFmtId="0" fontId="4" fillId="2" borderId="11" xfId="0" applyFont="1" applyFill="1" applyBorder="1" applyAlignment="1">
      <alignment horizontal="center"/>
    </xf>
    <xf numFmtId="44" fontId="4" fillId="2" borderId="12" xfId="1" applyFont="1" applyFill="1" applyBorder="1"/>
    <xf numFmtId="0" fontId="4" fillId="2" borderId="10" xfId="0" applyFont="1" applyFill="1" applyBorder="1" applyAlignment="1"/>
    <xf numFmtId="0" fontId="4" fillId="2" borderId="11" xfId="0" applyFont="1" applyFill="1" applyBorder="1" applyAlignment="1"/>
    <xf numFmtId="44" fontId="4" fillId="2" borderId="12" xfId="1" applyFont="1" applyFill="1" applyBorder="1" applyAlignment="1"/>
    <xf numFmtId="44" fontId="4" fillId="2" borderId="23" xfId="1" applyFont="1" applyFill="1" applyBorder="1"/>
    <xf numFmtId="0" fontId="4" fillId="2" borderId="7" xfId="0" applyFont="1" applyFill="1" applyBorder="1" applyAlignment="1">
      <alignment horizontal="left"/>
    </xf>
    <xf numFmtId="43" fontId="4" fillId="2" borderId="10" xfId="0" applyNumberFormat="1" applyFont="1" applyFill="1" applyBorder="1" applyAlignment="1"/>
    <xf numFmtId="164" fontId="4" fillId="2" borderId="12" xfId="1" applyNumberFormat="1" applyFont="1" applyFill="1" applyBorder="1"/>
    <xf numFmtId="0" fontId="5" fillId="3" borderId="8" xfId="0" applyNumberFormat="1" applyFont="1" applyFill="1" applyBorder="1" applyAlignment="1" applyProtection="1">
      <alignment horizontal="right" vertical="top" wrapText="1"/>
    </xf>
    <xf numFmtId="165" fontId="4" fillId="2" borderId="9" xfId="0" applyNumberFormat="1" applyFont="1" applyFill="1" applyBorder="1" applyAlignment="1">
      <alignment horizontal="center"/>
    </xf>
    <xf numFmtId="165" fontId="4" fillId="2" borderId="12" xfId="0" applyNumberFormat="1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3" fillId="2" borderId="8" xfId="0" applyFont="1" applyFill="1" applyBorder="1" applyAlignment="1"/>
    <xf numFmtId="165" fontId="6" fillId="2" borderId="9" xfId="1" applyNumberFormat="1" applyFont="1" applyFill="1" applyBorder="1" applyAlignment="1"/>
    <xf numFmtId="0" fontId="6" fillId="2" borderId="11" xfId="0" applyFont="1" applyFill="1" applyBorder="1" applyAlignment="1">
      <alignment horizontal="center"/>
    </xf>
    <xf numFmtId="0" fontId="3" fillId="2" borderId="11" xfId="0" applyFont="1" applyFill="1" applyBorder="1" applyAlignment="1"/>
    <xf numFmtId="165" fontId="6" fillId="2" borderId="12" xfId="1" applyNumberFormat="1" applyFont="1" applyFill="1" applyBorder="1" applyAlignment="1"/>
    <xf numFmtId="0" fontId="4" fillId="2" borderId="21" xfId="0" applyFont="1" applyFill="1" applyBorder="1" applyAlignment="1"/>
    <xf numFmtId="0" fontId="4" fillId="2" borderId="22" xfId="0" applyFont="1" applyFill="1" applyBorder="1" applyAlignment="1">
      <alignment horizontal="center"/>
    </xf>
    <xf numFmtId="0" fontId="4" fillId="2" borderId="22" xfId="0" applyFont="1" applyFill="1" applyBorder="1" applyAlignment="1"/>
    <xf numFmtId="0" fontId="2" fillId="2" borderId="4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4" fillId="0" borderId="8" xfId="0" applyFont="1" applyBorder="1"/>
    <xf numFmtId="0" fontId="6" fillId="2" borderId="7" xfId="0" applyFont="1" applyFill="1" applyBorder="1" applyAlignment="1"/>
    <xf numFmtId="0" fontId="2" fillId="4" borderId="8" xfId="0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 applyProtection="1">
      <alignment horizontal="left" vertical="top" wrapText="1"/>
    </xf>
    <xf numFmtId="1" fontId="5" fillId="3" borderId="8" xfId="0" applyNumberFormat="1" applyFont="1" applyFill="1" applyBorder="1" applyAlignment="1" applyProtection="1">
      <alignment horizontal="right" vertical="top" wrapText="1"/>
    </xf>
    <xf numFmtId="0" fontId="4" fillId="0" borderId="8" xfId="0" applyFont="1" applyBorder="1" applyAlignment="1">
      <alignment horizontal="center" vertical="center"/>
    </xf>
    <xf numFmtId="164" fontId="4" fillId="0" borderId="8" xfId="1" applyNumberFormat="1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8" xfId="0" applyFont="1" applyFill="1" applyBorder="1"/>
    <xf numFmtId="164" fontId="2" fillId="0" borderId="8" xfId="0" applyNumberFormat="1" applyFont="1" applyBorder="1"/>
    <xf numFmtId="0" fontId="5" fillId="3" borderId="8" xfId="0" applyNumberFormat="1" applyFont="1" applyFill="1" applyBorder="1" applyAlignment="1" applyProtection="1">
      <alignment horizontal="left" vertical="top" wrapText="1"/>
    </xf>
    <xf numFmtId="0" fontId="4" fillId="0" borderId="8" xfId="0" applyFont="1" applyFill="1" applyBorder="1" applyAlignment="1">
      <alignment horizontal="center" vertical="center"/>
    </xf>
    <xf numFmtId="0" fontId="4" fillId="0" borderId="26" xfId="0" applyFont="1" applyBorder="1"/>
    <xf numFmtId="164" fontId="4" fillId="0" borderId="8" xfId="0" applyNumberFormat="1" applyFont="1" applyBorder="1"/>
    <xf numFmtId="8" fontId="4" fillId="2" borderId="23" xfId="0" applyNumberFormat="1" applyFont="1" applyFill="1" applyBorder="1"/>
    <xf numFmtId="165" fontId="4" fillId="2" borderId="12" xfId="1" applyNumberFormat="1" applyFont="1" applyFill="1" applyBorder="1"/>
    <xf numFmtId="44" fontId="4" fillId="2" borderId="23" xfId="1" applyFont="1" applyFill="1" applyBorder="1" applyAlignment="1"/>
    <xf numFmtId="164" fontId="4" fillId="2" borderId="23" xfId="1" applyNumberFormat="1" applyFont="1" applyFill="1" applyBorder="1"/>
    <xf numFmtId="164" fontId="4" fillId="2" borderId="9" xfId="1" applyNumberFormat="1" applyFont="1" applyFill="1" applyBorder="1"/>
    <xf numFmtId="0" fontId="0" fillId="0" borderId="0" xfId="0" applyBorder="1"/>
    <xf numFmtId="165" fontId="4" fillId="2" borderId="23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4" fontId="2" fillId="2" borderId="3" xfId="0" applyNumberFormat="1" applyFont="1" applyFill="1" applyBorder="1" applyAlignment="1"/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5" fillId="3" borderId="22" xfId="0" applyNumberFormat="1" applyFont="1" applyFill="1" applyBorder="1" applyAlignment="1" applyProtection="1">
      <alignment horizontal="right" vertical="top" wrapText="1"/>
    </xf>
    <xf numFmtId="0" fontId="0" fillId="2" borderId="8" xfId="0" applyFill="1" applyBorder="1"/>
    <xf numFmtId="0" fontId="5" fillId="3" borderId="11" xfId="0" applyNumberFormat="1" applyFont="1" applyFill="1" applyBorder="1" applyAlignment="1" applyProtection="1">
      <alignment horizontal="right" vertical="top" wrapText="1"/>
    </xf>
    <xf numFmtId="0" fontId="0" fillId="2" borderId="11" xfId="0" applyFill="1" applyBorder="1"/>
    <xf numFmtId="0" fontId="6" fillId="2" borderId="21" xfId="0" applyFont="1" applyFill="1" applyBorder="1" applyAlignment="1"/>
    <xf numFmtId="0" fontId="6" fillId="2" borderId="22" xfId="0" applyFont="1" applyFill="1" applyBorder="1" applyAlignment="1">
      <alignment horizontal="center"/>
    </xf>
    <xf numFmtId="0" fontId="3" fillId="2" borderId="22" xfId="0" applyFont="1" applyFill="1" applyBorder="1" applyAlignment="1"/>
    <xf numFmtId="165" fontId="6" fillId="2" borderId="23" xfId="1" applyNumberFormat="1" applyFont="1" applyFill="1" applyBorder="1" applyAlignment="1"/>
    <xf numFmtId="0" fontId="6" fillId="2" borderId="10" xfId="0" applyFont="1" applyFill="1" applyBorder="1" applyAlignment="1"/>
    <xf numFmtId="0" fontId="4" fillId="2" borderId="27" xfId="0" applyFont="1" applyFill="1" applyBorder="1"/>
    <xf numFmtId="0" fontId="4" fillId="2" borderId="28" xfId="0" applyFont="1" applyFill="1" applyBorder="1" applyAlignment="1">
      <alignment horizontal="center"/>
    </xf>
    <xf numFmtId="0" fontId="4" fillId="2" borderId="28" xfId="0" applyFont="1" applyFill="1" applyBorder="1"/>
    <xf numFmtId="44" fontId="4" fillId="2" borderId="29" xfId="1" applyFont="1" applyFill="1" applyBorder="1"/>
    <xf numFmtId="0" fontId="0" fillId="2" borderId="24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27" xfId="0" applyFill="1" applyBorder="1"/>
    <xf numFmtId="0" fontId="0" fillId="2" borderId="28" xfId="0" applyFill="1" applyBorder="1"/>
    <xf numFmtId="0" fontId="0" fillId="2" borderId="16" xfId="0" applyFill="1" applyBorder="1" applyAlignment="1">
      <alignment horizontal="center"/>
    </xf>
    <xf numFmtId="0" fontId="0" fillId="2" borderId="32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73" zoomScaleNormal="100" workbookViewId="0">
      <selection activeCell="H98" sqref="H98"/>
    </sheetView>
  </sheetViews>
  <sheetFormatPr defaultRowHeight="15" x14ac:dyDescent="0.25"/>
  <cols>
    <col min="1" max="1" width="18.5703125" customWidth="1"/>
    <col min="2" max="2" width="6.42578125" bestFit="1" customWidth="1"/>
    <col min="3" max="3" width="6.140625" bestFit="1" customWidth="1"/>
    <col min="4" max="4" width="6.140625" customWidth="1"/>
    <col min="5" max="5" width="12.140625" bestFit="1" customWidth="1"/>
    <col min="6" max="6" width="19.7109375" customWidth="1"/>
    <col min="7" max="7" width="5.5703125" bestFit="1" customWidth="1"/>
    <col min="8" max="9" width="6.140625" customWidth="1"/>
    <col min="10" max="10" width="12.140625" bestFit="1" customWidth="1"/>
    <col min="11" max="11" width="21.28515625" customWidth="1"/>
    <col min="12" max="12" width="5.5703125" bestFit="1" customWidth="1"/>
    <col min="13" max="14" width="6.140625" customWidth="1"/>
    <col min="15" max="15" width="16.7109375" customWidth="1"/>
    <col min="16" max="16" width="12.85546875" customWidth="1"/>
  </cols>
  <sheetData>
    <row r="1" spans="1:15" ht="15.75" x14ac:dyDescent="0.25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 t="s">
        <v>113</v>
      </c>
      <c r="N1" s="70"/>
      <c r="O1" s="71">
        <f>I74*J74+I75*J75+I76*J76+I77*J77+I78*J78+I79*J79+I80*J80+I81*J81+I82*J82+I83*J83+I84*J84+N4*O4+N5*O5+N6*O6+N7*O7+N8*O8+N9*O9+N11*O11+N12*O12+N13*O13+N14*O14+N15*O15+N16*O16+N17*O17+N18*O18+N19*O19+N20*O20+N24*O24+N25*O25+N26*O26+N28*O28+N29*O29+N30*O30+N32*O32+N33*O33+N34*O34+N35*O35+N36*O36+N37*O37+N38*O38+N39*O39+N40*O40+N41*O41+N42*O42+N43*O43+D84*E84+D85*E85+D86*E86+D87*E87+D88*E88+D89*E89+D90*E90+I4*J4+I5*J5+I6*J6+I7*J7+I8*J8+I9*J9+I10*J10+I12*J12+I13*J13+I14*J14+I15*J15+I16*J16+I17*J17+I18*J18+I19*J19+I20*J20+I21*J21+I22*J22+I23*J23+I24*J24+I25*J25+I26*J26+I28*J28+I29*J29+I30*J30+I31*J31+I32*J32+I33*J33+I35*J35+I36*J36+I37*J37+I39*J39+I40*J40+I41*J41+I42*J42+I43*J43+I44*J44+I45*J45+I46*J46+I47*J47+I48*J48+I49*J49+I50*J50+I52*J52+I53*J53+I54*J54+I55*J55+I56*J56+I57*J57+I58*J58+I60*J60+I61*J61+I62*J62+I63*J63+I65*J65+I66*J66+I67*J67+I68*J68+I69*J69+I70*J70+I71*J71+I72*J72+D82*E82+D81*E81+D80*E80+D79*E79+D78*E78+D77*E77+D76*E76+D75*E75+D73*E73+D72*E72+D71*E71+D70*E70+D69*E69+D68*E68+D67*E67+D66*E66+D65*E65+D63*E63+D62*E62+D61*E61+D60*E60+D59*E59+D58*E58+D57*E57+D56*E56+D54*E54+D53*E53+D52*E52+D51*E51+D50*E50+D49*E49+D48*E48+D47*E47+D46*E46+D45*E45+D44*E44+D43*E43+D42*E42+D41*E41+D39*E39+D38*E38+D37*E37+D36*E36+D35*E35+D34*E34+D33*E33+D32*E32+D31*E31+D29*E29+D28*E28+D27*E27+D26*E26+D25*E25+D24*E24+D23*E23+D22*E22+D20*E20+D19*E19+D18*E18+D17*E17+D16*E16+D15*E15+D14*E14+D13*E13+D11*E11+D10*E10+D9*E9+D8*E8+D6*E6+D5*E5+D4*E4+N45*O45+N46*O46+N47*O47+N48*O48+N49*O49+N50*O50+N21*O21+N22*O22+I86*J86+N52*O52+N53*O53+N54*O54+N55*O55+N56*O56+N58*O58+N59*O59+N60*O60</f>
        <v>0</v>
      </c>
    </row>
    <row r="2" spans="1:15" ht="16.5" thickBot="1" x14ac:dyDescent="0.3">
      <c r="A2" s="35" t="s">
        <v>3</v>
      </c>
      <c r="B2" s="36" t="s">
        <v>4</v>
      </c>
      <c r="C2" s="37" t="s">
        <v>5</v>
      </c>
      <c r="D2" s="37" t="s">
        <v>6</v>
      </c>
      <c r="E2" s="37" t="s">
        <v>7</v>
      </c>
      <c r="F2" s="37" t="s">
        <v>3</v>
      </c>
      <c r="G2" s="36" t="s">
        <v>4</v>
      </c>
      <c r="H2" s="37" t="s">
        <v>5</v>
      </c>
      <c r="I2" s="37" t="s">
        <v>6</v>
      </c>
      <c r="J2" s="37" t="s">
        <v>7</v>
      </c>
      <c r="K2" s="37" t="s">
        <v>3</v>
      </c>
      <c r="L2" s="36" t="s">
        <v>4</v>
      </c>
      <c r="M2" s="37" t="s">
        <v>5</v>
      </c>
      <c r="N2" s="37" t="s">
        <v>6</v>
      </c>
      <c r="O2" s="38" t="s">
        <v>7</v>
      </c>
    </row>
    <row r="3" spans="1:15" ht="16.5" thickBot="1" x14ac:dyDescent="0.3">
      <c r="A3" s="60" t="s">
        <v>98</v>
      </c>
      <c r="B3" s="61"/>
      <c r="C3" s="61"/>
      <c r="D3" s="61"/>
      <c r="E3" s="62"/>
      <c r="F3" s="63" t="s">
        <v>2</v>
      </c>
      <c r="G3" s="64"/>
      <c r="H3" s="64"/>
      <c r="I3" s="64"/>
      <c r="J3" s="65"/>
      <c r="K3" s="60" t="s">
        <v>69</v>
      </c>
      <c r="L3" s="61"/>
      <c r="M3" s="61"/>
      <c r="N3" s="61"/>
      <c r="O3" s="62"/>
    </row>
    <row r="4" spans="1:15" ht="15.75" x14ac:dyDescent="0.25">
      <c r="A4" s="1" t="s">
        <v>9</v>
      </c>
      <c r="B4" s="2">
        <v>2564</v>
      </c>
      <c r="C4" s="2"/>
      <c r="D4" s="2"/>
      <c r="E4" s="53">
        <v>37</v>
      </c>
      <c r="F4" s="1" t="s">
        <v>9</v>
      </c>
      <c r="G4" s="33">
        <v>975</v>
      </c>
      <c r="H4" s="34"/>
      <c r="I4" s="34"/>
      <c r="J4" s="55">
        <v>35.24</v>
      </c>
      <c r="K4" s="1" t="s">
        <v>72</v>
      </c>
      <c r="L4" s="2">
        <v>2288</v>
      </c>
      <c r="M4" s="2"/>
      <c r="N4" s="2"/>
      <c r="O4" s="19">
        <v>28.18</v>
      </c>
    </row>
    <row r="5" spans="1:15" ht="15.75" x14ac:dyDescent="0.25">
      <c r="A5" s="3" t="s">
        <v>99</v>
      </c>
      <c r="B5" s="4">
        <v>2565</v>
      </c>
      <c r="C5" s="4"/>
      <c r="D5" s="4"/>
      <c r="E5" s="5">
        <v>38.18</v>
      </c>
      <c r="F5" s="3" t="s">
        <v>11</v>
      </c>
      <c r="G5" s="6">
        <v>978</v>
      </c>
      <c r="H5" s="12"/>
      <c r="I5" s="12"/>
      <c r="J5" s="13">
        <v>35.24</v>
      </c>
      <c r="K5" s="3" t="s">
        <v>74</v>
      </c>
      <c r="L5" s="4">
        <v>2289</v>
      </c>
      <c r="M5" s="4"/>
      <c r="N5" s="4"/>
      <c r="O5" s="7">
        <v>32.29</v>
      </c>
    </row>
    <row r="6" spans="1:15" ht="16.5" thickBot="1" x14ac:dyDescent="0.3">
      <c r="A6" s="8" t="s">
        <v>112</v>
      </c>
      <c r="B6" s="9">
        <v>2423</v>
      </c>
      <c r="C6" s="10"/>
      <c r="D6" s="10"/>
      <c r="E6" s="54">
        <v>40.53</v>
      </c>
      <c r="F6" s="3" t="s">
        <v>12</v>
      </c>
      <c r="G6" s="6">
        <v>983</v>
      </c>
      <c r="H6" s="12"/>
      <c r="I6" s="12"/>
      <c r="J6" s="13">
        <v>49.94</v>
      </c>
      <c r="K6" s="3" t="s">
        <v>77</v>
      </c>
      <c r="L6" s="4">
        <v>2287</v>
      </c>
      <c r="M6" s="4"/>
      <c r="N6" s="4"/>
      <c r="O6" s="7">
        <v>28.18</v>
      </c>
    </row>
    <row r="7" spans="1:15" ht="16.5" thickBot="1" x14ac:dyDescent="0.3">
      <c r="A7" s="60" t="s">
        <v>1</v>
      </c>
      <c r="B7" s="61"/>
      <c r="C7" s="61"/>
      <c r="D7" s="61"/>
      <c r="E7" s="62"/>
      <c r="F7" s="3" t="s">
        <v>15</v>
      </c>
      <c r="G7" s="6">
        <v>979</v>
      </c>
      <c r="H7" s="12"/>
      <c r="I7" s="12"/>
      <c r="J7" s="13">
        <v>49.94</v>
      </c>
      <c r="K7" s="3" t="s">
        <v>79</v>
      </c>
      <c r="L7" s="4">
        <v>2285</v>
      </c>
      <c r="M7" s="4"/>
      <c r="N7" s="4"/>
      <c r="O7" s="7">
        <v>24.06</v>
      </c>
    </row>
    <row r="8" spans="1:15" ht="15.75" x14ac:dyDescent="0.25">
      <c r="A8" s="32" t="s">
        <v>8</v>
      </c>
      <c r="B8" s="33">
        <v>99</v>
      </c>
      <c r="C8" s="34"/>
      <c r="D8" s="34"/>
      <c r="E8" s="55">
        <v>35.24</v>
      </c>
      <c r="F8" s="3" t="s">
        <v>17</v>
      </c>
      <c r="G8" s="6">
        <v>2238</v>
      </c>
      <c r="H8" s="12"/>
      <c r="I8" s="12"/>
      <c r="J8" s="13">
        <v>40.53</v>
      </c>
      <c r="K8" s="3" t="s">
        <v>80</v>
      </c>
      <c r="L8" s="4">
        <v>2286</v>
      </c>
      <c r="M8" s="4"/>
      <c r="N8" s="4"/>
      <c r="O8" s="7">
        <v>26.41</v>
      </c>
    </row>
    <row r="9" spans="1:15" ht="16.5" thickBot="1" x14ac:dyDescent="0.3">
      <c r="A9" s="11" t="s">
        <v>10</v>
      </c>
      <c r="B9" s="6">
        <v>10</v>
      </c>
      <c r="C9" s="12"/>
      <c r="D9" s="12"/>
      <c r="E9" s="13">
        <v>35.24</v>
      </c>
      <c r="F9" s="3" t="s">
        <v>19</v>
      </c>
      <c r="G9" s="6">
        <v>981</v>
      </c>
      <c r="H9" s="12"/>
      <c r="I9" s="12"/>
      <c r="J9" s="13">
        <v>52.88</v>
      </c>
      <c r="K9" s="8" t="s">
        <v>81</v>
      </c>
      <c r="L9" s="10">
        <v>2313</v>
      </c>
      <c r="M9" s="10"/>
      <c r="N9" s="10"/>
      <c r="O9" s="15">
        <v>24.06</v>
      </c>
    </row>
    <row r="10" spans="1:15" ht="16.5" thickBot="1" x14ac:dyDescent="0.3">
      <c r="A10" s="11" t="s">
        <v>13</v>
      </c>
      <c r="B10" s="6">
        <v>2290</v>
      </c>
      <c r="C10" s="12"/>
      <c r="D10" s="12"/>
      <c r="E10" s="13">
        <v>40.53</v>
      </c>
      <c r="F10" s="16" t="s">
        <v>21</v>
      </c>
      <c r="G10" s="14">
        <v>982</v>
      </c>
      <c r="H10" s="17"/>
      <c r="I10" s="17"/>
      <c r="J10" s="18">
        <v>38.18</v>
      </c>
      <c r="K10" s="60" t="s">
        <v>103</v>
      </c>
      <c r="L10" s="61"/>
      <c r="M10" s="61"/>
      <c r="N10" s="61"/>
      <c r="O10" s="62"/>
    </row>
    <row r="11" spans="1:15" ht="16.5" thickBot="1" x14ac:dyDescent="0.3">
      <c r="A11" s="16" t="s">
        <v>14</v>
      </c>
      <c r="B11" s="14">
        <v>2314</v>
      </c>
      <c r="C11" s="17"/>
      <c r="D11" s="17"/>
      <c r="E11" s="18">
        <v>28.97</v>
      </c>
      <c r="F11" s="60" t="s">
        <v>24</v>
      </c>
      <c r="G11" s="61"/>
      <c r="H11" s="61"/>
      <c r="I11" s="61"/>
      <c r="J11" s="62"/>
      <c r="K11" s="1" t="s">
        <v>32</v>
      </c>
      <c r="L11" s="81">
        <v>2576</v>
      </c>
      <c r="M11" s="2"/>
      <c r="N11" s="2"/>
      <c r="O11" s="19">
        <v>43.47</v>
      </c>
    </row>
    <row r="12" spans="1:15" ht="16.5" thickBot="1" x14ac:dyDescent="0.3">
      <c r="A12" s="60" t="s">
        <v>16</v>
      </c>
      <c r="B12" s="61"/>
      <c r="C12" s="61"/>
      <c r="D12" s="61"/>
      <c r="E12" s="62"/>
      <c r="F12" s="32" t="s">
        <v>8</v>
      </c>
      <c r="G12" s="33">
        <v>110</v>
      </c>
      <c r="H12" s="2"/>
      <c r="I12" s="34"/>
      <c r="J12" s="19">
        <v>30.53</v>
      </c>
      <c r="K12" s="3" t="s">
        <v>35</v>
      </c>
      <c r="L12" s="23">
        <v>2577</v>
      </c>
      <c r="M12" s="4"/>
      <c r="N12" s="4"/>
      <c r="O12" s="7">
        <v>43.47</v>
      </c>
    </row>
    <row r="13" spans="1:15" ht="15.75" x14ac:dyDescent="0.25">
      <c r="A13" s="32" t="s">
        <v>20</v>
      </c>
      <c r="B13" s="33">
        <v>119</v>
      </c>
      <c r="C13" s="34"/>
      <c r="D13" s="34"/>
      <c r="E13" s="55">
        <v>35.24</v>
      </c>
      <c r="F13" s="3" t="s">
        <v>12</v>
      </c>
      <c r="G13" s="6">
        <v>111</v>
      </c>
      <c r="H13" s="4"/>
      <c r="I13" s="12"/>
      <c r="J13" s="7">
        <v>43.47</v>
      </c>
      <c r="K13" s="3" t="s">
        <v>104</v>
      </c>
      <c r="L13" s="23">
        <v>2578</v>
      </c>
      <c r="M13" s="4"/>
      <c r="N13" s="4"/>
      <c r="O13" s="7">
        <v>48.18</v>
      </c>
    </row>
    <row r="14" spans="1:15" ht="15.75" x14ac:dyDescent="0.25">
      <c r="A14" s="11" t="s">
        <v>23</v>
      </c>
      <c r="B14" s="6">
        <v>1620</v>
      </c>
      <c r="C14" s="4"/>
      <c r="D14" s="4"/>
      <c r="E14" s="13">
        <v>49.94</v>
      </c>
      <c r="F14" s="3" t="s">
        <v>29</v>
      </c>
      <c r="G14" s="6">
        <v>109</v>
      </c>
      <c r="H14" s="4"/>
      <c r="I14" s="12"/>
      <c r="J14" s="7">
        <v>69.94</v>
      </c>
      <c r="K14" s="3" t="s">
        <v>105</v>
      </c>
      <c r="L14" s="23">
        <v>2579</v>
      </c>
      <c r="M14" s="4"/>
      <c r="N14" s="4"/>
      <c r="O14" s="7">
        <v>48.18</v>
      </c>
    </row>
    <row r="15" spans="1:15" ht="15.75" x14ac:dyDescent="0.25">
      <c r="A15" s="11" t="s">
        <v>25</v>
      </c>
      <c r="B15" s="6">
        <v>27</v>
      </c>
      <c r="C15" s="12"/>
      <c r="D15" s="12"/>
      <c r="E15" s="13">
        <v>35.24</v>
      </c>
      <c r="F15" s="3" t="s">
        <v>11</v>
      </c>
      <c r="G15" s="6">
        <v>21</v>
      </c>
      <c r="H15" s="4"/>
      <c r="I15" s="12"/>
      <c r="J15" s="7">
        <v>30.53</v>
      </c>
      <c r="K15" s="3" t="s">
        <v>106</v>
      </c>
      <c r="L15" s="23">
        <v>2580</v>
      </c>
      <c r="M15" s="4"/>
      <c r="N15" s="4"/>
      <c r="O15" s="7">
        <v>48.18</v>
      </c>
    </row>
    <row r="16" spans="1:15" ht="15.75" x14ac:dyDescent="0.25">
      <c r="A16" s="11" t="s">
        <v>26</v>
      </c>
      <c r="B16" s="6">
        <v>1621</v>
      </c>
      <c r="C16" s="4"/>
      <c r="D16" s="4"/>
      <c r="E16" s="13">
        <v>49.94</v>
      </c>
      <c r="F16" s="3" t="s">
        <v>15</v>
      </c>
      <c r="G16" s="6">
        <v>22</v>
      </c>
      <c r="H16" s="4"/>
      <c r="I16" s="4"/>
      <c r="J16" s="7">
        <v>43.47</v>
      </c>
      <c r="K16" s="3" t="s">
        <v>107</v>
      </c>
      <c r="L16" s="23">
        <v>2581</v>
      </c>
      <c r="M16" s="4"/>
      <c r="N16" s="4"/>
      <c r="O16" s="7">
        <v>52.29</v>
      </c>
    </row>
    <row r="17" spans="1:15" ht="15.75" x14ac:dyDescent="0.25">
      <c r="A17" s="11" t="s">
        <v>13</v>
      </c>
      <c r="B17" s="6">
        <v>2237</v>
      </c>
      <c r="C17" s="12"/>
      <c r="D17" s="12"/>
      <c r="E17" s="13">
        <v>40.53</v>
      </c>
      <c r="F17" s="3" t="s">
        <v>31</v>
      </c>
      <c r="G17" s="6">
        <v>20</v>
      </c>
      <c r="H17" s="4"/>
      <c r="I17" s="12"/>
      <c r="J17" s="7">
        <v>69.94</v>
      </c>
      <c r="K17" s="3" t="s">
        <v>108</v>
      </c>
      <c r="L17" s="23">
        <v>2582</v>
      </c>
      <c r="M17" s="4"/>
      <c r="N17" s="4"/>
      <c r="O17" s="7">
        <v>52.29</v>
      </c>
    </row>
    <row r="18" spans="1:15" ht="15.75" x14ac:dyDescent="0.25">
      <c r="A18" s="11" t="s">
        <v>28</v>
      </c>
      <c r="B18" s="6">
        <v>82</v>
      </c>
      <c r="C18" s="12"/>
      <c r="D18" s="12"/>
      <c r="E18" s="13">
        <v>52.88</v>
      </c>
      <c r="F18" s="3" t="s">
        <v>13</v>
      </c>
      <c r="G18" s="6">
        <v>2228</v>
      </c>
      <c r="H18" s="4"/>
      <c r="I18" s="12"/>
      <c r="J18" s="7">
        <v>33.47</v>
      </c>
      <c r="K18" s="3" t="s">
        <v>109</v>
      </c>
      <c r="L18" s="23">
        <v>2583</v>
      </c>
      <c r="M18" s="4"/>
      <c r="N18" s="4"/>
      <c r="O18" s="7">
        <v>52.29</v>
      </c>
    </row>
    <row r="19" spans="1:15" ht="15.75" x14ac:dyDescent="0.25">
      <c r="A19" s="11" t="s">
        <v>22</v>
      </c>
      <c r="B19" s="6">
        <v>2241</v>
      </c>
      <c r="C19" s="12"/>
      <c r="D19" s="12"/>
      <c r="E19" s="13">
        <v>15.24</v>
      </c>
      <c r="F19" s="3" t="s">
        <v>18</v>
      </c>
      <c r="G19" s="6">
        <v>63</v>
      </c>
      <c r="H19" s="4"/>
      <c r="I19" s="12"/>
      <c r="J19" s="7">
        <v>48.18</v>
      </c>
      <c r="K19" s="3" t="s">
        <v>110</v>
      </c>
      <c r="L19" s="23">
        <v>2584</v>
      </c>
      <c r="M19" s="4"/>
      <c r="N19" s="4"/>
      <c r="O19" s="7">
        <v>28.98</v>
      </c>
    </row>
    <row r="20" spans="1:15" ht="16.5" thickBot="1" x14ac:dyDescent="0.3">
      <c r="A20" s="16" t="s">
        <v>14</v>
      </c>
      <c r="B20" s="14">
        <v>2240</v>
      </c>
      <c r="C20" s="10"/>
      <c r="D20" s="10"/>
      <c r="E20" s="15">
        <v>28.97</v>
      </c>
      <c r="F20" s="3" t="s">
        <v>33</v>
      </c>
      <c r="G20" s="6">
        <v>2221</v>
      </c>
      <c r="H20" s="4"/>
      <c r="I20" s="4"/>
      <c r="J20" s="7">
        <v>64.650000000000006</v>
      </c>
      <c r="K20" s="3" t="s">
        <v>111</v>
      </c>
      <c r="L20" s="23">
        <v>2585</v>
      </c>
      <c r="M20" s="4"/>
      <c r="N20" s="4"/>
      <c r="O20" s="7">
        <v>52.29</v>
      </c>
    </row>
    <row r="21" spans="1:15" ht="16.5" thickBot="1" x14ac:dyDescent="0.3">
      <c r="A21" s="60" t="s">
        <v>30</v>
      </c>
      <c r="B21" s="61"/>
      <c r="C21" s="61"/>
      <c r="D21" s="61"/>
      <c r="E21" s="62"/>
      <c r="F21" s="3" t="s">
        <v>34</v>
      </c>
      <c r="G21" s="6">
        <v>47</v>
      </c>
      <c r="H21" s="4"/>
      <c r="I21" s="12"/>
      <c r="J21" s="7">
        <v>35.24</v>
      </c>
      <c r="K21" s="3" t="s">
        <v>232</v>
      </c>
      <c r="L21" s="23">
        <v>2621</v>
      </c>
      <c r="M21" s="82"/>
      <c r="N21" s="82"/>
      <c r="O21" s="7">
        <v>52.29</v>
      </c>
    </row>
    <row r="22" spans="1:15" ht="16.5" thickBot="1" x14ac:dyDescent="0.3">
      <c r="A22" s="1" t="s">
        <v>9</v>
      </c>
      <c r="B22" s="33">
        <v>2261</v>
      </c>
      <c r="C22" s="2"/>
      <c r="D22" s="2"/>
      <c r="E22" s="56">
        <v>35.24</v>
      </c>
      <c r="F22" s="3" t="s">
        <v>36</v>
      </c>
      <c r="G22" s="6">
        <v>48</v>
      </c>
      <c r="H22" s="4"/>
      <c r="I22" s="12"/>
      <c r="J22" s="7">
        <v>44.06</v>
      </c>
      <c r="K22" s="8" t="s">
        <v>233</v>
      </c>
      <c r="L22" s="83">
        <v>2622</v>
      </c>
      <c r="M22" s="84"/>
      <c r="N22" s="84"/>
      <c r="O22" s="15">
        <v>38.18</v>
      </c>
    </row>
    <row r="23" spans="1:15" ht="16.5" thickBot="1" x14ac:dyDescent="0.3">
      <c r="A23" s="3" t="s">
        <v>32</v>
      </c>
      <c r="B23" s="6">
        <v>2262</v>
      </c>
      <c r="C23" s="4"/>
      <c r="D23" s="4"/>
      <c r="E23" s="57">
        <v>49.94</v>
      </c>
      <c r="F23" s="3" t="s">
        <v>37</v>
      </c>
      <c r="G23" s="6">
        <v>2325</v>
      </c>
      <c r="H23" s="4"/>
      <c r="I23" s="12"/>
      <c r="J23" s="7">
        <v>44.06</v>
      </c>
      <c r="K23" s="63" t="s">
        <v>42</v>
      </c>
      <c r="L23" s="64"/>
      <c r="M23" s="64"/>
      <c r="N23" s="64"/>
      <c r="O23" s="65"/>
    </row>
    <row r="24" spans="1:15" ht="15.75" x14ac:dyDescent="0.25">
      <c r="A24" s="3" t="s">
        <v>10</v>
      </c>
      <c r="B24" s="6">
        <v>2263</v>
      </c>
      <c r="C24" s="4"/>
      <c r="D24" s="4"/>
      <c r="E24" s="57">
        <v>35.24</v>
      </c>
      <c r="F24" s="3" t="s">
        <v>22</v>
      </c>
      <c r="G24" s="6">
        <v>2242</v>
      </c>
      <c r="H24" s="4"/>
      <c r="I24" s="4"/>
      <c r="J24" s="7">
        <v>15.24</v>
      </c>
      <c r="K24" s="1" t="s">
        <v>9</v>
      </c>
      <c r="L24" s="33">
        <v>120</v>
      </c>
      <c r="M24" s="33"/>
      <c r="N24" s="33"/>
      <c r="O24" s="59">
        <v>35.24</v>
      </c>
    </row>
    <row r="25" spans="1:15" ht="15.75" x14ac:dyDescent="0.25">
      <c r="A25" s="3" t="s">
        <v>35</v>
      </c>
      <c r="B25" s="6">
        <v>2264</v>
      </c>
      <c r="C25" s="4"/>
      <c r="D25" s="4"/>
      <c r="E25" s="57">
        <v>49.94</v>
      </c>
      <c r="F25" s="3" t="s">
        <v>41</v>
      </c>
      <c r="G25" s="6">
        <v>2028</v>
      </c>
      <c r="H25" s="4"/>
      <c r="I25" s="4"/>
      <c r="J25" s="7">
        <v>9.94</v>
      </c>
      <c r="K25" s="3" t="s">
        <v>47</v>
      </c>
      <c r="L25" s="6">
        <v>41</v>
      </c>
      <c r="M25" s="6"/>
      <c r="N25" s="6"/>
      <c r="O25" s="24">
        <v>44.06</v>
      </c>
    </row>
    <row r="26" spans="1:15" ht="16.5" thickBot="1" x14ac:dyDescent="0.3">
      <c r="A26" s="3" t="s">
        <v>13</v>
      </c>
      <c r="B26" s="6">
        <v>2265</v>
      </c>
      <c r="C26" s="4"/>
      <c r="D26" s="4"/>
      <c r="E26" s="57">
        <v>40.53</v>
      </c>
      <c r="F26" s="8" t="s">
        <v>44</v>
      </c>
      <c r="G26" s="14">
        <v>2230</v>
      </c>
      <c r="H26" s="10"/>
      <c r="I26" s="10"/>
      <c r="J26" s="22">
        <v>32.29</v>
      </c>
      <c r="K26" s="8" t="s">
        <v>13</v>
      </c>
      <c r="L26" s="14">
        <v>2250</v>
      </c>
      <c r="M26" s="14"/>
      <c r="N26" s="14"/>
      <c r="O26" s="25">
        <v>40.53</v>
      </c>
    </row>
    <row r="27" spans="1:15" ht="16.5" thickBot="1" x14ac:dyDescent="0.3">
      <c r="A27" s="20" t="s">
        <v>38</v>
      </c>
      <c r="B27" s="6">
        <v>2266</v>
      </c>
      <c r="C27" s="4"/>
      <c r="D27" s="4"/>
      <c r="E27" s="57">
        <v>52.88</v>
      </c>
      <c r="F27" s="60" t="s">
        <v>46</v>
      </c>
      <c r="G27" s="61"/>
      <c r="H27" s="61"/>
      <c r="I27" s="61"/>
      <c r="J27" s="62"/>
      <c r="K27" s="63" t="s">
        <v>64</v>
      </c>
      <c r="L27" s="64"/>
      <c r="M27" s="64"/>
      <c r="N27" s="64"/>
      <c r="O27" s="65"/>
    </row>
    <row r="28" spans="1:15" ht="15.75" x14ac:dyDescent="0.25">
      <c r="A28" s="20" t="s">
        <v>40</v>
      </c>
      <c r="B28" s="6">
        <v>2267</v>
      </c>
      <c r="C28" s="4"/>
      <c r="D28" s="4"/>
      <c r="E28" s="57">
        <v>28.97</v>
      </c>
      <c r="F28" s="1" t="s">
        <v>8</v>
      </c>
      <c r="G28" s="33">
        <v>2255</v>
      </c>
      <c r="H28" s="2"/>
      <c r="I28" s="2"/>
      <c r="J28" s="19">
        <v>30.53</v>
      </c>
      <c r="K28" s="1" t="s">
        <v>65</v>
      </c>
      <c r="L28" s="33">
        <v>2420</v>
      </c>
      <c r="M28" s="2"/>
      <c r="N28" s="2"/>
      <c r="O28" s="19">
        <v>40.53</v>
      </c>
    </row>
    <row r="29" spans="1:15" ht="16.5" thickBot="1" x14ac:dyDescent="0.3">
      <c r="A29" s="21" t="s">
        <v>43</v>
      </c>
      <c r="B29" s="14">
        <v>2268</v>
      </c>
      <c r="C29" s="10"/>
      <c r="D29" s="10"/>
      <c r="E29" s="22">
        <v>31.71</v>
      </c>
      <c r="F29" s="3" t="s">
        <v>32</v>
      </c>
      <c r="G29" s="6">
        <v>2256</v>
      </c>
      <c r="H29" s="4"/>
      <c r="I29" s="4"/>
      <c r="J29" s="7">
        <v>43.47</v>
      </c>
      <c r="K29" s="3" t="s">
        <v>67</v>
      </c>
      <c r="L29" s="6">
        <v>2421</v>
      </c>
      <c r="M29" s="4"/>
      <c r="N29" s="4"/>
      <c r="O29" s="7">
        <v>40.53</v>
      </c>
    </row>
    <row r="30" spans="1:15" ht="16.5" thickBot="1" x14ac:dyDescent="0.3">
      <c r="A30" s="60" t="s">
        <v>45</v>
      </c>
      <c r="B30" s="61"/>
      <c r="C30" s="61"/>
      <c r="D30" s="61"/>
      <c r="E30" s="62"/>
      <c r="F30" s="3" t="s">
        <v>50</v>
      </c>
      <c r="G30" s="6">
        <v>2258</v>
      </c>
      <c r="H30" s="4"/>
      <c r="I30" s="4"/>
      <c r="J30" s="7">
        <v>30.53</v>
      </c>
      <c r="K30" s="8" t="s">
        <v>68</v>
      </c>
      <c r="L30" s="14">
        <v>2422</v>
      </c>
      <c r="M30" s="10"/>
      <c r="N30" s="10"/>
      <c r="O30" s="15">
        <v>40.53</v>
      </c>
    </row>
    <row r="31" spans="1:15" ht="16.5" thickBot="1" x14ac:dyDescent="0.3">
      <c r="A31" s="1" t="s">
        <v>9</v>
      </c>
      <c r="B31" s="33">
        <v>490</v>
      </c>
      <c r="C31" s="2"/>
      <c r="D31" s="2"/>
      <c r="E31" s="56">
        <v>35.24</v>
      </c>
      <c r="F31" s="3" t="s">
        <v>10</v>
      </c>
      <c r="G31" s="6">
        <v>2259</v>
      </c>
      <c r="H31" s="4"/>
      <c r="I31" s="4"/>
      <c r="J31" s="7">
        <v>30.53</v>
      </c>
      <c r="K31" s="63" t="s">
        <v>48</v>
      </c>
      <c r="L31" s="64"/>
      <c r="M31" s="64"/>
      <c r="N31" s="64"/>
      <c r="O31" s="65"/>
    </row>
    <row r="32" spans="1:15" ht="15.75" x14ac:dyDescent="0.25">
      <c r="A32" s="3" t="s">
        <v>12</v>
      </c>
      <c r="B32" s="6">
        <v>491</v>
      </c>
      <c r="C32" s="4"/>
      <c r="D32" s="4"/>
      <c r="E32" s="57">
        <v>49.94</v>
      </c>
      <c r="F32" s="3" t="s">
        <v>35</v>
      </c>
      <c r="G32" s="6">
        <v>2260</v>
      </c>
      <c r="H32" s="4"/>
      <c r="I32" s="4"/>
      <c r="J32" s="7">
        <v>43.47</v>
      </c>
      <c r="K32" s="1" t="s">
        <v>9</v>
      </c>
      <c r="L32" s="33">
        <v>130</v>
      </c>
      <c r="M32" s="2"/>
      <c r="N32" s="2"/>
      <c r="O32" s="19">
        <v>30.53</v>
      </c>
    </row>
    <row r="33" spans="1:15" ht="16.5" thickBot="1" x14ac:dyDescent="0.3">
      <c r="A33" s="3" t="s">
        <v>49</v>
      </c>
      <c r="B33" s="6">
        <v>492</v>
      </c>
      <c r="C33" s="4"/>
      <c r="D33" s="4"/>
      <c r="E33" s="57">
        <v>35.24</v>
      </c>
      <c r="F33" s="16" t="s">
        <v>14</v>
      </c>
      <c r="G33" s="14">
        <v>2271</v>
      </c>
      <c r="H33" s="10"/>
      <c r="I33" s="10"/>
      <c r="J33" s="15">
        <v>28.97</v>
      </c>
      <c r="K33" s="3" t="s">
        <v>12</v>
      </c>
      <c r="L33" s="6">
        <v>131</v>
      </c>
      <c r="M33" s="4"/>
      <c r="N33" s="4"/>
      <c r="O33" s="7">
        <v>43.47</v>
      </c>
    </row>
    <row r="34" spans="1:15" ht="16.5" thickBot="1" x14ac:dyDescent="0.3">
      <c r="A34" s="3" t="s">
        <v>15</v>
      </c>
      <c r="B34" s="6">
        <v>493</v>
      </c>
      <c r="C34" s="4"/>
      <c r="D34" s="4"/>
      <c r="E34" s="57">
        <v>49.94</v>
      </c>
      <c r="F34" s="60" t="s">
        <v>226</v>
      </c>
      <c r="G34" s="61"/>
      <c r="H34" s="61"/>
      <c r="I34" s="61"/>
      <c r="J34" s="62"/>
      <c r="K34" s="3" t="s">
        <v>29</v>
      </c>
      <c r="L34" s="6">
        <v>1284</v>
      </c>
      <c r="M34" s="4"/>
      <c r="N34" s="4"/>
      <c r="O34" s="7">
        <v>69.94</v>
      </c>
    </row>
    <row r="35" spans="1:15" ht="15.75" x14ac:dyDescent="0.25">
      <c r="A35" s="3" t="s">
        <v>51</v>
      </c>
      <c r="B35" s="6">
        <v>2317</v>
      </c>
      <c r="C35" s="4"/>
      <c r="D35" s="4"/>
      <c r="E35" s="57">
        <v>40.53</v>
      </c>
      <c r="F35" s="1" t="s">
        <v>8</v>
      </c>
      <c r="G35" s="33">
        <v>2269</v>
      </c>
      <c r="H35" s="2"/>
      <c r="I35" s="2"/>
      <c r="J35" s="19">
        <v>40.53</v>
      </c>
      <c r="K35" s="3" t="s">
        <v>11</v>
      </c>
      <c r="L35" s="6">
        <v>37</v>
      </c>
      <c r="M35" s="4"/>
      <c r="N35" s="4"/>
      <c r="O35" s="7">
        <v>30.53</v>
      </c>
    </row>
    <row r="36" spans="1:15" ht="15.75" x14ac:dyDescent="0.25">
      <c r="A36" s="3" t="s">
        <v>18</v>
      </c>
      <c r="B36" s="6">
        <v>495</v>
      </c>
      <c r="C36" s="4"/>
      <c r="D36" s="4"/>
      <c r="E36" s="57">
        <v>52.88</v>
      </c>
      <c r="F36" s="3" t="s">
        <v>56</v>
      </c>
      <c r="G36" s="6">
        <v>2270</v>
      </c>
      <c r="H36" s="4"/>
      <c r="I36" s="4"/>
      <c r="J36" s="7">
        <v>46.41</v>
      </c>
      <c r="K36" s="3" t="s">
        <v>15</v>
      </c>
      <c r="L36" s="6">
        <v>38</v>
      </c>
      <c r="M36" s="4"/>
      <c r="N36" s="4"/>
      <c r="O36" s="7">
        <v>43.47</v>
      </c>
    </row>
    <row r="37" spans="1:15" ht="16.5" thickBot="1" x14ac:dyDescent="0.3">
      <c r="A37" s="3" t="s">
        <v>52</v>
      </c>
      <c r="B37" s="6">
        <v>497</v>
      </c>
      <c r="C37" s="4"/>
      <c r="D37" s="4"/>
      <c r="E37" s="57">
        <v>44.06</v>
      </c>
      <c r="F37" s="8" t="s">
        <v>57</v>
      </c>
      <c r="G37" s="14">
        <v>2346</v>
      </c>
      <c r="H37" s="10"/>
      <c r="I37" s="10"/>
      <c r="J37" s="15">
        <v>46.41</v>
      </c>
      <c r="K37" s="3" t="s">
        <v>31</v>
      </c>
      <c r="L37" s="6">
        <v>1285</v>
      </c>
      <c r="M37" s="4"/>
      <c r="N37" s="4"/>
      <c r="O37" s="7">
        <v>69.94</v>
      </c>
    </row>
    <row r="38" spans="1:15" ht="16.5" thickBot="1" x14ac:dyDescent="0.3">
      <c r="A38" s="3" t="s">
        <v>53</v>
      </c>
      <c r="B38" s="6">
        <v>498</v>
      </c>
      <c r="C38" s="4"/>
      <c r="D38" s="4"/>
      <c r="E38" s="57">
        <v>58.18</v>
      </c>
      <c r="F38" s="60" t="s">
        <v>58</v>
      </c>
      <c r="G38" s="61"/>
      <c r="H38" s="61"/>
      <c r="I38" s="61"/>
      <c r="J38" s="62"/>
      <c r="K38" s="3" t="s">
        <v>13</v>
      </c>
      <c r="L38" s="6">
        <v>2327</v>
      </c>
      <c r="M38" s="4"/>
      <c r="N38" s="4"/>
      <c r="O38" s="7">
        <v>33.47</v>
      </c>
    </row>
    <row r="39" spans="1:15" ht="16.5" thickBot="1" x14ac:dyDescent="0.3">
      <c r="A39" s="8" t="s">
        <v>54</v>
      </c>
      <c r="B39" s="14">
        <v>2345</v>
      </c>
      <c r="C39" s="10"/>
      <c r="D39" s="10"/>
      <c r="E39" s="22">
        <v>44.06</v>
      </c>
      <c r="F39" s="1" t="s">
        <v>9</v>
      </c>
      <c r="G39" s="33">
        <v>1433</v>
      </c>
      <c r="H39" s="2"/>
      <c r="I39" s="2"/>
      <c r="J39" s="19">
        <v>30.53</v>
      </c>
      <c r="K39" s="3" t="s">
        <v>38</v>
      </c>
      <c r="L39" s="6">
        <v>72</v>
      </c>
      <c r="M39" s="4"/>
      <c r="N39" s="4"/>
      <c r="O39" s="7">
        <v>48.18</v>
      </c>
    </row>
    <row r="40" spans="1:15" ht="16.5" thickBot="1" x14ac:dyDescent="0.3">
      <c r="A40" s="60" t="s">
        <v>55</v>
      </c>
      <c r="B40" s="61"/>
      <c r="C40" s="61"/>
      <c r="D40" s="61"/>
      <c r="E40" s="62"/>
      <c r="F40" s="3" t="s">
        <v>12</v>
      </c>
      <c r="G40" s="6">
        <v>1440</v>
      </c>
      <c r="H40" s="4"/>
      <c r="I40" s="4"/>
      <c r="J40" s="7">
        <v>43.5</v>
      </c>
      <c r="K40" s="3" t="s">
        <v>59</v>
      </c>
      <c r="L40" s="6">
        <v>2360</v>
      </c>
      <c r="M40" s="4"/>
      <c r="N40" s="4"/>
      <c r="O40" s="7">
        <v>64.650000000000006</v>
      </c>
    </row>
    <row r="41" spans="1:15" ht="15.75" x14ac:dyDescent="0.25">
      <c r="A41" s="1" t="s">
        <v>9</v>
      </c>
      <c r="B41" s="33">
        <v>404</v>
      </c>
      <c r="C41" s="2"/>
      <c r="D41" s="34"/>
      <c r="E41" s="19">
        <v>35.24</v>
      </c>
      <c r="F41" s="3" t="s">
        <v>63</v>
      </c>
      <c r="G41" s="6">
        <v>1622</v>
      </c>
      <c r="H41" s="4"/>
      <c r="I41" s="4"/>
      <c r="J41" s="7">
        <v>69.94</v>
      </c>
      <c r="K41" s="3" t="s">
        <v>60</v>
      </c>
      <c r="L41" s="6">
        <v>2315</v>
      </c>
      <c r="M41" s="4"/>
      <c r="N41" s="4"/>
      <c r="O41" s="7">
        <v>35.24</v>
      </c>
    </row>
    <row r="42" spans="1:15" ht="15.75" x14ac:dyDescent="0.25">
      <c r="A42" s="3" t="s">
        <v>12</v>
      </c>
      <c r="B42" s="6">
        <v>405</v>
      </c>
      <c r="C42" s="4"/>
      <c r="D42" s="12"/>
      <c r="E42" s="7">
        <v>49.94</v>
      </c>
      <c r="F42" s="3" t="s">
        <v>11</v>
      </c>
      <c r="G42" s="6">
        <v>1434</v>
      </c>
      <c r="H42" s="4"/>
      <c r="I42" s="4"/>
      <c r="J42" s="7">
        <v>30.53</v>
      </c>
      <c r="K42" s="3" t="s">
        <v>61</v>
      </c>
      <c r="L42" s="6">
        <v>2316</v>
      </c>
      <c r="M42" s="4"/>
      <c r="N42" s="4"/>
      <c r="O42" s="7">
        <v>44.06</v>
      </c>
    </row>
    <row r="43" spans="1:15" ht="16.5" thickBot="1" x14ac:dyDescent="0.3">
      <c r="A43" s="3" t="s">
        <v>29</v>
      </c>
      <c r="B43" s="6">
        <v>977</v>
      </c>
      <c r="C43" s="4"/>
      <c r="D43" s="12"/>
      <c r="E43" s="7">
        <v>75.819999999999993</v>
      </c>
      <c r="F43" s="3" t="s">
        <v>15</v>
      </c>
      <c r="G43" s="6">
        <v>1439</v>
      </c>
      <c r="H43" s="4"/>
      <c r="I43" s="4"/>
      <c r="J43" s="7">
        <v>43.47</v>
      </c>
      <c r="K43" s="8" t="s">
        <v>62</v>
      </c>
      <c r="L43" s="14">
        <v>2324</v>
      </c>
      <c r="M43" s="10"/>
      <c r="N43" s="10"/>
      <c r="O43" s="15">
        <v>32.29</v>
      </c>
    </row>
    <row r="44" spans="1:15" ht="16.5" thickBot="1" x14ac:dyDescent="0.3">
      <c r="A44" s="3" t="s">
        <v>11</v>
      </c>
      <c r="B44" s="6">
        <v>406</v>
      </c>
      <c r="C44" s="4"/>
      <c r="D44" s="12"/>
      <c r="E44" s="7">
        <v>35.24</v>
      </c>
      <c r="F44" s="3" t="s">
        <v>66</v>
      </c>
      <c r="G44" s="6">
        <v>1623</v>
      </c>
      <c r="H44" s="4"/>
      <c r="I44" s="4"/>
      <c r="J44" s="7">
        <v>69.94</v>
      </c>
      <c r="K44" s="63" t="s">
        <v>227</v>
      </c>
      <c r="L44" s="64"/>
      <c r="M44" s="64"/>
      <c r="N44" s="64"/>
      <c r="O44" s="65"/>
    </row>
    <row r="45" spans="1:15" ht="15.75" x14ac:dyDescent="0.25">
      <c r="A45" s="3" t="s">
        <v>15</v>
      </c>
      <c r="B45" s="6">
        <v>407</v>
      </c>
      <c r="C45" s="4"/>
      <c r="D45" s="12"/>
      <c r="E45" s="7">
        <v>49.94</v>
      </c>
      <c r="F45" s="3" t="s">
        <v>13</v>
      </c>
      <c r="G45" s="6">
        <v>2239</v>
      </c>
      <c r="H45" s="4"/>
      <c r="I45" s="4"/>
      <c r="J45" s="7">
        <v>33.47</v>
      </c>
      <c r="K45" s="1" t="s">
        <v>9</v>
      </c>
      <c r="L45" s="33">
        <v>2609</v>
      </c>
      <c r="M45" s="2"/>
      <c r="N45" s="2"/>
      <c r="O45" s="19">
        <v>34.65</v>
      </c>
    </row>
    <row r="46" spans="1:15" ht="15.75" x14ac:dyDescent="0.25">
      <c r="A46" s="3" t="s">
        <v>31</v>
      </c>
      <c r="B46" s="6">
        <v>976</v>
      </c>
      <c r="C46" s="4"/>
      <c r="D46" s="4"/>
      <c r="E46" s="7">
        <v>75.819999999999993</v>
      </c>
      <c r="F46" s="3" t="s">
        <v>18</v>
      </c>
      <c r="G46" s="6">
        <v>1441</v>
      </c>
      <c r="H46" s="4"/>
      <c r="I46" s="4"/>
      <c r="J46" s="7">
        <v>46.18</v>
      </c>
      <c r="K46" s="3" t="s">
        <v>51</v>
      </c>
      <c r="L46" s="6">
        <v>2610</v>
      </c>
      <c r="M46" s="4"/>
      <c r="N46" s="4"/>
      <c r="O46" s="7">
        <v>38.65</v>
      </c>
    </row>
    <row r="47" spans="1:15" ht="15.75" x14ac:dyDescent="0.25">
      <c r="A47" s="3" t="s">
        <v>13</v>
      </c>
      <c r="B47" s="6">
        <v>2229</v>
      </c>
      <c r="C47" s="4"/>
      <c r="D47" s="12"/>
      <c r="E47" s="7">
        <v>40.53</v>
      </c>
      <c r="F47" s="3" t="s">
        <v>33</v>
      </c>
      <c r="G47" s="6">
        <v>2219</v>
      </c>
      <c r="H47" s="4"/>
      <c r="I47" s="4"/>
      <c r="J47" s="7">
        <v>64.650000000000006</v>
      </c>
      <c r="K47" s="3" t="s">
        <v>228</v>
      </c>
      <c r="L47" s="6">
        <v>2612</v>
      </c>
      <c r="M47" s="4"/>
      <c r="N47" s="4"/>
      <c r="O47" s="7">
        <v>15.76</v>
      </c>
    </row>
    <row r="48" spans="1:15" ht="15.75" x14ac:dyDescent="0.25">
      <c r="A48" s="3" t="s">
        <v>18</v>
      </c>
      <c r="B48" s="6">
        <v>409</v>
      </c>
      <c r="C48" s="4"/>
      <c r="D48" s="12"/>
      <c r="E48" s="7">
        <v>52.88</v>
      </c>
      <c r="F48" s="3" t="s">
        <v>34</v>
      </c>
      <c r="G48" s="6">
        <v>1453</v>
      </c>
      <c r="H48" s="4"/>
      <c r="I48" s="4"/>
      <c r="J48" s="7">
        <v>35.24</v>
      </c>
      <c r="K48" s="3" t="s">
        <v>229</v>
      </c>
      <c r="L48" s="6">
        <v>2613</v>
      </c>
      <c r="M48" s="4"/>
      <c r="N48" s="4"/>
      <c r="O48" s="7">
        <v>37.71</v>
      </c>
    </row>
    <row r="49" spans="1:15" ht="15.75" x14ac:dyDescent="0.25">
      <c r="A49" s="3" t="s">
        <v>33</v>
      </c>
      <c r="B49" s="6">
        <v>2220</v>
      </c>
      <c r="C49" s="4"/>
      <c r="D49" s="12"/>
      <c r="E49" s="7">
        <v>79.349999999999994</v>
      </c>
      <c r="F49" s="3" t="s">
        <v>73</v>
      </c>
      <c r="G49" s="6">
        <v>2319</v>
      </c>
      <c r="H49" s="4"/>
      <c r="I49" s="4"/>
      <c r="J49" s="7">
        <v>32.29</v>
      </c>
      <c r="K49" s="3" t="s">
        <v>230</v>
      </c>
      <c r="L49" s="6">
        <v>2611</v>
      </c>
      <c r="M49" s="4"/>
      <c r="N49" s="4"/>
      <c r="O49" s="7">
        <v>37.71</v>
      </c>
    </row>
    <row r="50" spans="1:15" ht="16.5" thickBot="1" x14ac:dyDescent="0.3">
      <c r="A50" s="3" t="s">
        <v>34</v>
      </c>
      <c r="B50" s="6">
        <v>410</v>
      </c>
      <c r="C50" s="4"/>
      <c r="D50" s="12"/>
      <c r="E50" s="7">
        <v>38.18</v>
      </c>
      <c r="F50" s="8" t="s">
        <v>76</v>
      </c>
      <c r="G50" s="14">
        <v>2243</v>
      </c>
      <c r="H50" s="10"/>
      <c r="I50" s="10"/>
      <c r="J50" s="15">
        <v>17.59</v>
      </c>
      <c r="K50" s="8" t="s">
        <v>231</v>
      </c>
      <c r="L50" s="14">
        <v>2614</v>
      </c>
      <c r="M50" s="10"/>
      <c r="N50" s="10"/>
      <c r="O50" s="15">
        <v>26.1</v>
      </c>
    </row>
    <row r="51" spans="1:15" ht="16.5" thickBot="1" x14ac:dyDescent="0.3">
      <c r="A51" s="3" t="s">
        <v>70</v>
      </c>
      <c r="B51" s="6">
        <v>2231</v>
      </c>
      <c r="C51" s="4"/>
      <c r="D51" s="12"/>
      <c r="E51" s="7">
        <v>22.88</v>
      </c>
      <c r="F51" s="63" t="s">
        <v>93</v>
      </c>
      <c r="G51" s="64"/>
      <c r="H51" s="64"/>
      <c r="I51" s="64"/>
      <c r="J51" s="65"/>
      <c r="K51" s="63" t="s">
        <v>235</v>
      </c>
      <c r="L51" s="64"/>
      <c r="M51" s="64"/>
      <c r="N51" s="64"/>
      <c r="O51" s="65"/>
    </row>
    <row r="52" spans="1:15" ht="15.75" x14ac:dyDescent="0.25">
      <c r="A52" s="3" t="s">
        <v>71</v>
      </c>
      <c r="B52" s="6">
        <v>2244</v>
      </c>
      <c r="C52" s="4"/>
      <c r="D52" s="4"/>
      <c r="E52" s="7">
        <v>35.82</v>
      </c>
      <c r="F52" s="1" t="s">
        <v>9</v>
      </c>
      <c r="G52" s="33">
        <v>217</v>
      </c>
      <c r="H52" s="2"/>
      <c r="I52" s="2"/>
      <c r="J52" s="19">
        <v>35.24</v>
      </c>
      <c r="K52" s="1" t="s">
        <v>9</v>
      </c>
      <c r="L52" s="33">
        <v>2624</v>
      </c>
      <c r="M52" s="2"/>
      <c r="N52" s="2"/>
      <c r="O52" s="19">
        <v>37</v>
      </c>
    </row>
    <row r="53" spans="1:15" ht="15.75" x14ac:dyDescent="0.25">
      <c r="A53" s="3" t="s">
        <v>41</v>
      </c>
      <c r="B53" s="6">
        <v>2029</v>
      </c>
      <c r="C53" s="4"/>
      <c r="D53" s="4"/>
      <c r="E53" s="7">
        <v>9.94</v>
      </c>
      <c r="F53" s="3" t="s">
        <v>12</v>
      </c>
      <c r="G53" s="6">
        <v>218</v>
      </c>
      <c r="H53" s="4"/>
      <c r="I53" s="4"/>
      <c r="J53" s="7">
        <v>49.94</v>
      </c>
      <c r="K53" s="3" t="s">
        <v>236</v>
      </c>
      <c r="L53" s="6">
        <v>2625</v>
      </c>
      <c r="M53" s="4"/>
      <c r="N53" s="4"/>
      <c r="O53" s="7">
        <v>40.53</v>
      </c>
    </row>
    <row r="54" spans="1:15" ht="16.5" thickBot="1" x14ac:dyDescent="0.3">
      <c r="A54" s="8" t="s">
        <v>75</v>
      </c>
      <c r="B54" s="14">
        <v>2475</v>
      </c>
      <c r="C54" s="10"/>
      <c r="D54" s="10"/>
      <c r="E54" s="15">
        <v>31.12</v>
      </c>
      <c r="F54" s="3" t="s">
        <v>11</v>
      </c>
      <c r="G54" s="6">
        <v>223</v>
      </c>
      <c r="H54" s="4"/>
      <c r="I54" s="4"/>
      <c r="J54" s="7">
        <v>35.24</v>
      </c>
      <c r="K54" s="3" t="s">
        <v>237</v>
      </c>
      <c r="L54" s="6">
        <v>2626</v>
      </c>
      <c r="M54" s="4"/>
      <c r="N54" s="4"/>
      <c r="O54" s="7">
        <v>48.18</v>
      </c>
    </row>
    <row r="55" spans="1:15" ht="16.5" thickBot="1" x14ac:dyDescent="0.3">
      <c r="A55" s="60" t="s">
        <v>78</v>
      </c>
      <c r="B55" s="61"/>
      <c r="C55" s="61"/>
      <c r="D55" s="61"/>
      <c r="E55" s="62"/>
      <c r="F55" s="3" t="s">
        <v>15</v>
      </c>
      <c r="G55" s="6">
        <v>224</v>
      </c>
      <c r="H55" s="4"/>
      <c r="I55" s="4"/>
      <c r="J55" s="7">
        <v>49.94</v>
      </c>
      <c r="K55" s="3" t="s">
        <v>238</v>
      </c>
      <c r="L55" s="6">
        <v>2627</v>
      </c>
      <c r="M55" s="4"/>
      <c r="N55" s="4"/>
      <c r="O55" s="7">
        <v>52.88</v>
      </c>
    </row>
    <row r="56" spans="1:15" ht="16.5" thickBot="1" x14ac:dyDescent="0.3">
      <c r="A56" s="1" t="s">
        <v>9</v>
      </c>
      <c r="B56" s="33">
        <v>2024</v>
      </c>
      <c r="C56" s="34"/>
      <c r="D56" s="34"/>
      <c r="E56" s="55">
        <v>35.24</v>
      </c>
      <c r="F56" s="3" t="s">
        <v>13</v>
      </c>
      <c r="G56" s="6">
        <v>2318</v>
      </c>
      <c r="H56" s="4"/>
      <c r="I56" s="4"/>
      <c r="J56" s="7">
        <v>40.53</v>
      </c>
      <c r="K56" s="8" t="s">
        <v>239</v>
      </c>
      <c r="L56" s="14">
        <v>2628</v>
      </c>
      <c r="M56" s="10"/>
      <c r="N56" s="10"/>
      <c r="O56" s="15">
        <v>38.18</v>
      </c>
    </row>
    <row r="57" spans="1:15" ht="16.5" thickBot="1" x14ac:dyDescent="0.3">
      <c r="A57" s="3" t="s">
        <v>12</v>
      </c>
      <c r="B57" s="6">
        <v>2033</v>
      </c>
      <c r="C57" s="12"/>
      <c r="D57" s="12"/>
      <c r="E57" s="13">
        <v>49.94</v>
      </c>
      <c r="F57" s="3" t="s">
        <v>18</v>
      </c>
      <c r="G57" s="6">
        <v>221</v>
      </c>
      <c r="H57" s="4"/>
      <c r="I57" s="4"/>
      <c r="J57" s="7">
        <v>52.88</v>
      </c>
      <c r="K57" s="63" t="s">
        <v>240</v>
      </c>
      <c r="L57" s="64"/>
      <c r="M57" s="64"/>
      <c r="N57" s="64"/>
      <c r="O57" s="65"/>
    </row>
    <row r="58" spans="1:15" ht="16.5" thickBot="1" x14ac:dyDescent="0.3">
      <c r="A58" s="3" t="s">
        <v>49</v>
      </c>
      <c r="B58" s="6">
        <v>2025</v>
      </c>
      <c r="C58" s="12"/>
      <c r="D58" s="12"/>
      <c r="E58" s="13">
        <v>35.24</v>
      </c>
      <c r="F58" s="8" t="s">
        <v>14</v>
      </c>
      <c r="G58" s="14">
        <v>2249</v>
      </c>
      <c r="H58" s="10"/>
      <c r="I58" s="10"/>
      <c r="J58" s="15">
        <v>28.97</v>
      </c>
      <c r="K58" s="1" t="s">
        <v>9</v>
      </c>
      <c r="L58" s="33">
        <v>2630</v>
      </c>
      <c r="M58" s="2"/>
      <c r="N58" s="2"/>
      <c r="O58" s="19">
        <v>37</v>
      </c>
    </row>
    <row r="59" spans="1:15" ht="16.5" thickBot="1" x14ac:dyDescent="0.3">
      <c r="A59" s="3" t="s">
        <v>15</v>
      </c>
      <c r="B59" s="6">
        <v>2034</v>
      </c>
      <c r="C59" s="4"/>
      <c r="D59" s="4"/>
      <c r="E59" s="13">
        <v>49.94</v>
      </c>
      <c r="F59" s="72" t="s">
        <v>85</v>
      </c>
      <c r="G59" s="73"/>
      <c r="H59" s="73"/>
      <c r="I59" s="73"/>
      <c r="J59" s="74"/>
      <c r="K59" s="3" t="s">
        <v>236</v>
      </c>
      <c r="L59" s="6">
        <v>2631</v>
      </c>
      <c r="M59" s="4"/>
      <c r="N59" s="4"/>
      <c r="O59" s="7">
        <v>40.53</v>
      </c>
    </row>
    <row r="60" spans="1:15" ht="16.5" thickBot="1" x14ac:dyDescent="0.3">
      <c r="A60" s="3" t="s">
        <v>13</v>
      </c>
      <c r="B60" s="6">
        <v>2326</v>
      </c>
      <c r="C60" s="12"/>
      <c r="D60" s="12"/>
      <c r="E60" s="13">
        <v>40.53</v>
      </c>
      <c r="F60" s="85" t="s">
        <v>87</v>
      </c>
      <c r="G60" s="86">
        <v>802</v>
      </c>
      <c r="H60" s="87"/>
      <c r="I60" s="87"/>
      <c r="J60" s="88">
        <v>34.06</v>
      </c>
      <c r="K60" s="8" t="s">
        <v>241</v>
      </c>
      <c r="L60" s="14">
        <v>2632</v>
      </c>
      <c r="M60" s="10"/>
      <c r="N60" s="10"/>
      <c r="O60" s="15">
        <v>52.88</v>
      </c>
    </row>
    <row r="61" spans="1:15" ht="15.75" x14ac:dyDescent="0.25">
      <c r="A61" s="3" t="s">
        <v>18</v>
      </c>
      <c r="B61" s="6">
        <v>2035</v>
      </c>
      <c r="C61" s="4"/>
      <c r="D61" s="4"/>
      <c r="E61" s="7">
        <v>52.88</v>
      </c>
      <c r="F61" s="40" t="s">
        <v>88</v>
      </c>
      <c r="G61" s="26">
        <v>803</v>
      </c>
      <c r="H61" s="27"/>
      <c r="I61" s="27"/>
      <c r="J61" s="28">
        <v>31.12</v>
      </c>
      <c r="K61" s="75"/>
      <c r="L61" s="75"/>
      <c r="M61" s="75"/>
      <c r="N61" s="75"/>
      <c r="O61" s="76"/>
    </row>
    <row r="62" spans="1:15" ht="15.75" x14ac:dyDescent="0.25">
      <c r="A62" s="3" t="s">
        <v>83</v>
      </c>
      <c r="B62" s="6">
        <v>2027</v>
      </c>
      <c r="C62" s="4"/>
      <c r="D62" s="4"/>
      <c r="E62" s="7">
        <v>28.97</v>
      </c>
      <c r="F62" s="40" t="s">
        <v>90</v>
      </c>
      <c r="G62" s="26">
        <v>804</v>
      </c>
      <c r="H62" s="27"/>
      <c r="I62" s="27"/>
      <c r="J62" s="28">
        <v>31.78</v>
      </c>
      <c r="K62" s="77"/>
      <c r="L62" s="77"/>
      <c r="M62" s="77"/>
      <c r="N62" s="77"/>
      <c r="O62" s="78"/>
    </row>
    <row r="63" spans="1:15" ht="16.5" thickBot="1" x14ac:dyDescent="0.3">
      <c r="A63" s="8" t="s">
        <v>84</v>
      </c>
      <c r="B63" s="14">
        <v>2397</v>
      </c>
      <c r="C63" s="10"/>
      <c r="D63" s="10"/>
      <c r="E63" s="15">
        <v>38.18</v>
      </c>
      <c r="F63" s="89" t="s">
        <v>92</v>
      </c>
      <c r="G63" s="29">
        <v>805</v>
      </c>
      <c r="H63" s="30"/>
      <c r="I63" s="30"/>
      <c r="J63" s="31">
        <v>38.18</v>
      </c>
      <c r="K63" s="77"/>
      <c r="L63" s="77"/>
      <c r="M63" s="77"/>
      <c r="N63" s="77"/>
      <c r="O63" s="78"/>
    </row>
    <row r="64" spans="1:15" ht="16.5" thickBot="1" x14ac:dyDescent="0.3">
      <c r="A64" s="60" t="s">
        <v>82</v>
      </c>
      <c r="B64" s="61"/>
      <c r="C64" s="61"/>
      <c r="D64" s="61"/>
      <c r="E64" s="62"/>
      <c r="F64" s="63" t="s">
        <v>96</v>
      </c>
      <c r="G64" s="64"/>
      <c r="H64" s="64"/>
      <c r="I64" s="64"/>
      <c r="J64" s="65"/>
      <c r="K64" s="77"/>
      <c r="L64" s="77"/>
      <c r="M64" s="77"/>
      <c r="N64" s="77"/>
      <c r="O64" s="78"/>
    </row>
    <row r="65" spans="1:15" ht="15.75" x14ac:dyDescent="0.25">
      <c r="A65" s="1" t="s">
        <v>9</v>
      </c>
      <c r="B65" s="33">
        <v>2480</v>
      </c>
      <c r="C65" s="2"/>
      <c r="D65" s="2"/>
      <c r="E65" s="19">
        <v>35.24</v>
      </c>
      <c r="F65" s="85" t="s">
        <v>114</v>
      </c>
      <c r="G65" s="2">
        <v>2607</v>
      </c>
      <c r="H65" s="2"/>
      <c r="I65" s="2"/>
      <c r="J65" s="19">
        <v>70.48</v>
      </c>
      <c r="K65" s="77"/>
      <c r="L65" s="77"/>
      <c r="M65" s="77"/>
      <c r="N65" s="77"/>
      <c r="O65" s="78"/>
    </row>
    <row r="66" spans="1:15" ht="15.75" x14ac:dyDescent="0.25">
      <c r="A66" s="3" t="s">
        <v>12</v>
      </c>
      <c r="B66" s="6">
        <v>2481</v>
      </c>
      <c r="C66" s="4"/>
      <c r="D66" s="4"/>
      <c r="E66" s="7">
        <v>49.94</v>
      </c>
      <c r="F66" s="40" t="s">
        <v>97</v>
      </c>
      <c r="G66" s="26">
        <v>1459</v>
      </c>
      <c r="H66" s="4"/>
      <c r="I66" s="4"/>
      <c r="J66" s="7">
        <v>99.88</v>
      </c>
      <c r="K66" s="77"/>
      <c r="L66" s="77"/>
      <c r="M66" s="77"/>
      <c r="N66" s="77"/>
      <c r="O66" s="78"/>
    </row>
    <row r="67" spans="1:15" ht="15.75" x14ac:dyDescent="0.25">
      <c r="A67" s="3" t="s">
        <v>49</v>
      </c>
      <c r="B67" s="6">
        <v>2482</v>
      </c>
      <c r="C67" s="4"/>
      <c r="D67" s="4"/>
      <c r="E67" s="7">
        <v>35.24</v>
      </c>
      <c r="F67" s="40" t="s">
        <v>115</v>
      </c>
      <c r="G67" s="4">
        <v>2058</v>
      </c>
      <c r="H67" s="4"/>
      <c r="I67" s="4"/>
      <c r="J67" s="7">
        <v>61.06</v>
      </c>
      <c r="K67" s="77"/>
      <c r="L67" s="77"/>
      <c r="M67" s="77"/>
      <c r="N67" s="77"/>
      <c r="O67" s="78"/>
    </row>
    <row r="68" spans="1:15" ht="15.75" x14ac:dyDescent="0.25">
      <c r="A68" s="3" t="s">
        <v>15</v>
      </c>
      <c r="B68" s="6">
        <v>2483</v>
      </c>
      <c r="C68" s="4"/>
      <c r="D68" s="4"/>
      <c r="E68" s="7">
        <v>49.94</v>
      </c>
      <c r="F68" s="40" t="s">
        <v>116</v>
      </c>
      <c r="G68" s="4">
        <v>1431</v>
      </c>
      <c r="H68" s="4"/>
      <c r="I68" s="4"/>
      <c r="J68" s="7">
        <v>86.94</v>
      </c>
      <c r="K68" s="77"/>
      <c r="L68" s="77"/>
      <c r="M68" s="77"/>
      <c r="N68" s="77"/>
      <c r="O68" s="78"/>
    </row>
    <row r="69" spans="1:15" ht="15.75" x14ac:dyDescent="0.25">
      <c r="A69" s="3" t="s">
        <v>13</v>
      </c>
      <c r="B69" s="6">
        <v>2484</v>
      </c>
      <c r="C69" s="4"/>
      <c r="D69" s="4"/>
      <c r="E69" s="7">
        <v>40.53</v>
      </c>
      <c r="F69" s="40" t="s">
        <v>117</v>
      </c>
      <c r="G69" s="4">
        <v>1442</v>
      </c>
      <c r="H69" s="4"/>
      <c r="I69" s="4"/>
      <c r="J69" s="7">
        <v>61.06</v>
      </c>
      <c r="K69" s="77"/>
      <c r="L69" s="77"/>
      <c r="M69" s="77"/>
      <c r="N69" s="77"/>
      <c r="O69" s="78"/>
    </row>
    <row r="70" spans="1:15" ht="15.75" x14ac:dyDescent="0.25">
      <c r="A70" s="3" t="s">
        <v>18</v>
      </c>
      <c r="B70" s="6">
        <v>2485</v>
      </c>
      <c r="C70" s="4"/>
      <c r="D70" s="4"/>
      <c r="E70" s="7">
        <v>52.88</v>
      </c>
      <c r="F70" s="3" t="s">
        <v>118</v>
      </c>
      <c r="G70" s="4">
        <v>2573</v>
      </c>
      <c r="H70" s="4"/>
      <c r="I70" s="4"/>
      <c r="J70" s="7">
        <v>86.94</v>
      </c>
      <c r="K70" s="77"/>
      <c r="L70" s="77"/>
      <c r="M70" s="77"/>
      <c r="N70" s="77"/>
      <c r="O70" s="78"/>
    </row>
    <row r="71" spans="1:15" ht="15.75" x14ac:dyDescent="0.25">
      <c r="A71" s="3" t="s">
        <v>86</v>
      </c>
      <c r="B71" s="6">
        <v>2486</v>
      </c>
      <c r="C71" s="4"/>
      <c r="D71" s="4"/>
      <c r="E71" s="7">
        <v>38.18</v>
      </c>
      <c r="F71" s="3" t="s">
        <v>100</v>
      </c>
      <c r="G71" s="6">
        <v>2489</v>
      </c>
      <c r="H71" s="4"/>
      <c r="I71" s="4"/>
      <c r="J71" s="7">
        <v>85.18</v>
      </c>
      <c r="K71" s="77"/>
      <c r="L71" s="77"/>
      <c r="M71" s="77"/>
      <c r="N71" s="77"/>
      <c r="O71" s="78"/>
    </row>
    <row r="72" spans="1:15" ht="16.5" thickBot="1" x14ac:dyDescent="0.3">
      <c r="A72" s="3" t="s">
        <v>14</v>
      </c>
      <c r="B72" s="6">
        <v>2487</v>
      </c>
      <c r="C72" s="4"/>
      <c r="D72" s="4"/>
      <c r="E72" s="7">
        <v>28.97</v>
      </c>
      <c r="F72" s="8" t="s">
        <v>102</v>
      </c>
      <c r="G72" s="14">
        <v>2575</v>
      </c>
      <c r="H72" s="10"/>
      <c r="I72" s="10"/>
      <c r="J72" s="15">
        <v>79.3</v>
      </c>
      <c r="K72" s="77"/>
      <c r="L72" s="77"/>
      <c r="M72" s="77"/>
      <c r="N72" s="77"/>
      <c r="O72" s="78"/>
    </row>
    <row r="73" spans="1:15" ht="16.5" thickBot="1" x14ac:dyDescent="0.3">
      <c r="A73" s="8" t="s">
        <v>89</v>
      </c>
      <c r="B73" s="14">
        <v>2488</v>
      </c>
      <c r="C73" s="10"/>
      <c r="D73" s="10"/>
      <c r="E73" s="15">
        <v>52.88</v>
      </c>
      <c r="F73" s="63" t="s">
        <v>27</v>
      </c>
      <c r="G73" s="64"/>
      <c r="H73" s="64"/>
      <c r="I73" s="64"/>
      <c r="J73" s="65"/>
      <c r="K73" s="77"/>
      <c r="L73" s="77"/>
      <c r="M73" s="77"/>
      <c r="N73" s="77"/>
      <c r="O73" s="78"/>
    </row>
    <row r="74" spans="1:15" ht="16.5" thickBot="1" x14ac:dyDescent="0.3">
      <c r="A74" s="60" t="s">
        <v>91</v>
      </c>
      <c r="B74" s="61"/>
      <c r="C74" s="61"/>
      <c r="D74" s="61"/>
      <c r="E74" s="62"/>
      <c r="F74" s="1" t="s">
        <v>9</v>
      </c>
      <c r="G74" s="33">
        <v>125</v>
      </c>
      <c r="H74" s="2"/>
      <c r="I74" s="2"/>
      <c r="J74" s="19">
        <v>30.53</v>
      </c>
      <c r="K74" s="77"/>
      <c r="L74" s="77"/>
      <c r="M74" s="77"/>
      <c r="N74" s="77"/>
      <c r="O74" s="78"/>
    </row>
    <row r="75" spans="1:15" ht="15.75" x14ac:dyDescent="0.25">
      <c r="A75" s="1" t="s">
        <v>9</v>
      </c>
      <c r="B75" s="33">
        <v>2514</v>
      </c>
      <c r="C75" s="2"/>
      <c r="D75" s="2"/>
      <c r="E75" s="19">
        <v>35.24</v>
      </c>
      <c r="F75" s="3" t="s">
        <v>12</v>
      </c>
      <c r="G75" s="6">
        <v>126</v>
      </c>
      <c r="H75" s="4"/>
      <c r="I75" s="4"/>
      <c r="J75" s="7">
        <v>43.47</v>
      </c>
      <c r="K75" s="77"/>
      <c r="L75" s="77"/>
      <c r="M75" s="77"/>
      <c r="N75" s="77"/>
      <c r="O75" s="78"/>
    </row>
    <row r="76" spans="1:15" ht="15.75" x14ac:dyDescent="0.25">
      <c r="A76" s="3" t="s">
        <v>12</v>
      </c>
      <c r="B76" s="6">
        <v>2515</v>
      </c>
      <c r="C76" s="4"/>
      <c r="D76" s="4"/>
      <c r="E76" s="7">
        <v>49.94</v>
      </c>
      <c r="F76" s="3" t="s">
        <v>29</v>
      </c>
      <c r="G76" s="6">
        <v>124</v>
      </c>
      <c r="H76" s="4"/>
      <c r="I76" s="4"/>
      <c r="J76" s="7">
        <v>69.94</v>
      </c>
      <c r="K76" s="77"/>
      <c r="L76" s="77"/>
      <c r="M76" s="77"/>
      <c r="N76" s="77"/>
      <c r="O76" s="78"/>
    </row>
    <row r="77" spans="1:15" ht="15.75" x14ac:dyDescent="0.25">
      <c r="A77" s="3" t="s">
        <v>49</v>
      </c>
      <c r="B77" s="6">
        <v>2516</v>
      </c>
      <c r="C77" s="4"/>
      <c r="D77" s="4"/>
      <c r="E77" s="7">
        <v>35.24</v>
      </c>
      <c r="F77" s="3" t="s">
        <v>11</v>
      </c>
      <c r="G77" s="6">
        <v>32</v>
      </c>
      <c r="H77" s="4"/>
      <c r="I77" s="4"/>
      <c r="J77" s="7">
        <v>30.53</v>
      </c>
      <c r="K77" s="77"/>
      <c r="L77" s="77"/>
      <c r="M77" s="77"/>
      <c r="N77" s="77"/>
      <c r="O77" s="78"/>
    </row>
    <row r="78" spans="1:15" ht="15.75" x14ac:dyDescent="0.25">
      <c r="A78" s="3" t="s">
        <v>15</v>
      </c>
      <c r="B78" s="6">
        <v>2517</v>
      </c>
      <c r="C78" s="4"/>
      <c r="D78" s="4"/>
      <c r="E78" s="7">
        <v>49.94</v>
      </c>
      <c r="F78" s="3" t="s">
        <v>15</v>
      </c>
      <c r="G78" s="6">
        <v>33</v>
      </c>
      <c r="H78" s="4"/>
      <c r="I78" s="4"/>
      <c r="J78" s="7">
        <v>43.47</v>
      </c>
      <c r="K78" s="77"/>
      <c r="L78" s="77"/>
      <c r="M78" s="77"/>
      <c r="N78" s="77"/>
      <c r="O78" s="78"/>
    </row>
    <row r="79" spans="1:15" ht="15.75" x14ac:dyDescent="0.25">
      <c r="A79" s="3" t="s">
        <v>13</v>
      </c>
      <c r="B79" s="6">
        <v>2518</v>
      </c>
      <c r="C79" s="4"/>
      <c r="D79" s="4"/>
      <c r="E79" s="7">
        <v>40.53</v>
      </c>
      <c r="F79" s="3" t="s">
        <v>31</v>
      </c>
      <c r="G79" s="6">
        <v>31</v>
      </c>
      <c r="H79" s="4"/>
      <c r="I79" s="4"/>
      <c r="J79" s="7">
        <v>69.94</v>
      </c>
      <c r="K79" s="77"/>
      <c r="L79" s="77"/>
      <c r="M79" s="77"/>
      <c r="N79" s="77"/>
      <c r="O79" s="78"/>
    </row>
    <row r="80" spans="1:15" ht="15.75" x14ac:dyDescent="0.25">
      <c r="A80" s="3" t="s">
        <v>18</v>
      </c>
      <c r="B80" s="6">
        <v>2519</v>
      </c>
      <c r="C80" s="4"/>
      <c r="D80" s="4"/>
      <c r="E80" s="7">
        <v>52.88</v>
      </c>
      <c r="F80" s="3" t="s">
        <v>13</v>
      </c>
      <c r="G80" s="6">
        <v>2321</v>
      </c>
      <c r="H80" s="4"/>
      <c r="I80" s="4"/>
      <c r="J80" s="7">
        <v>33.47</v>
      </c>
      <c r="K80" s="77"/>
      <c r="L80" s="77"/>
      <c r="M80" s="77"/>
      <c r="N80" s="77"/>
      <c r="O80" s="78"/>
    </row>
    <row r="81" spans="1:15" ht="15.75" x14ac:dyDescent="0.25">
      <c r="A81" s="3" t="s">
        <v>34</v>
      </c>
      <c r="B81" s="6">
        <v>2520</v>
      </c>
      <c r="C81" s="4"/>
      <c r="D81" s="4"/>
      <c r="E81" s="7">
        <v>38.18</v>
      </c>
      <c r="F81" s="3" t="s">
        <v>18</v>
      </c>
      <c r="G81" s="6">
        <v>69</v>
      </c>
      <c r="H81" s="4"/>
      <c r="I81" s="4"/>
      <c r="J81" s="7">
        <v>48.18</v>
      </c>
      <c r="K81" s="77"/>
      <c r="L81" s="77"/>
      <c r="M81" s="77"/>
      <c r="N81" s="77"/>
      <c r="O81" s="78"/>
    </row>
    <row r="82" spans="1:15" ht="16.5" thickBot="1" x14ac:dyDescent="0.3">
      <c r="A82" s="8" t="s">
        <v>94</v>
      </c>
      <c r="B82" s="14">
        <v>2521</v>
      </c>
      <c r="C82" s="10"/>
      <c r="D82" s="10"/>
      <c r="E82" s="15">
        <v>52.88</v>
      </c>
      <c r="F82" s="3" t="s">
        <v>33</v>
      </c>
      <c r="G82" s="6">
        <v>2322</v>
      </c>
      <c r="H82" s="4"/>
      <c r="I82" s="4"/>
      <c r="J82" s="7">
        <v>64.650000000000006</v>
      </c>
      <c r="K82" s="77"/>
      <c r="L82" s="77"/>
      <c r="M82" s="77"/>
      <c r="N82" s="77"/>
      <c r="O82" s="78"/>
    </row>
    <row r="83" spans="1:15" ht="16.5" thickBot="1" x14ac:dyDescent="0.3">
      <c r="A83" s="60" t="s">
        <v>95</v>
      </c>
      <c r="B83" s="61"/>
      <c r="C83" s="61"/>
      <c r="D83" s="61"/>
      <c r="E83" s="62"/>
      <c r="F83" s="3" t="s">
        <v>36</v>
      </c>
      <c r="G83" s="6">
        <v>49</v>
      </c>
      <c r="H83" s="4"/>
      <c r="I83" s="4"/>
      <c r="J83" s="7">
        <v>44.06</v>
      </c>
      <c r="K83" s="77"/>
      <c r="L83" s="77"/>
      <c r="M83" s="77"/>
      <c r="N83" s="77"/>
      <c r="O83" s="78"/>
    </row>
    <row r="84" spans="1:15" ht="16.5" thickBot="1" x14ac:dyDescent="0.3">
      <c r="A84" s="1" t="s">
        <v>8</v>
      </c>
      <c r="B84" s="33">
        <v>105</v>
      </c>
      <c r="C84" s="2"/>
      <c r="D84" s="2"/>
      <c r="E84" s="19">
        <v>30.53</v>
      </c>
      <c r="F84" s="8" t="s">
        <v>39</v>
      </c>
      <c r="G84" s="14">
        <v>2323</v>
      </c>
      <c r="H84" s="10"/>
      <c r="I84" s="10"/>
      <c r="J84" s="15">
        <v>32.29</v>
      </c>
      <c r="K84" s="77"/>
      <c r="L84" s="77"/>
      <c r="M84" s="77"/>
      <c r="N84" s="77"/>
      <c r="O84" s="78"/>
    </row>
    <row r="85" spans="1:15" ht="16.5" thickBot="1" x14ac:dyDescent="0.3">
      <c r="A85" s="3" t="s">
        <v>32</v>
      </c>
      <c r="B85" s="6">
        <v>106</v>
      </c>
      <c r="C85" s="4"/>
      <c r="D85" s="4"/>
      <c r="E85" s="7">
        <v>43.47</v>
      </c>
      <c r="F85" s="63" t="s">
        <v>234</v>
      </c>
      <c r="G85" s="64"/>
      <c r="H85" s="64"/>
      <c r="I85" s="64"/>
      <c r="J85" s="65"/>
      <c r="K85" s="77"/>
      <c r="L85" s="77"/>
      <c r="M85" s="77"/>
      <c r="N85" s="77"/>
      <c r="O85" s="78"/>
    </row>
    <row r="86" spans="1:15" ht="16.5" thickBot="1" x14ac:dyDescent="0.3">
      <c r="A86" s="3" t="s">
        <v>29</v>
      </c>
      <c r="B86" s="6">
        <v>104</v>
      </c>
      <c r="C86" s="4"/>
      <c r="D86" s="4"/>
      <c r="E86" s="7">
        <v>69.94</v>
      </c>
      <c r="F86" s="90" t="s">
        <v>14</v>
      </c>
      <c r="G86" s="91">
        <v>2623</v>
      </c>
      <c r="H86" s="92"/>
      <c r="I86" s="92"/>
      <c r="J86" s="93">
        <v>38.18</v>
      </c>
      <c r="K86" s="77"/>
      <c r="L86" s="77"/>
      <c r="M86" s="77"/>
      <c r="N86" s="77"/>
      <c r="O86" s="78"/>
    </row>
    <row r="87" spans="1:15" ht="15.75" x14ac:dyDescent="0.25">
      <c r="A87" s="3" t="s">
        <v>10</v>
      </c>
      <c r="B87" s="6">
        <v>16</v>
      </c>
      <c r="C87" s="4"/>
      <c r="D87" s="4"/>
      <c r="E87" s="7">
        <v>30.53</v>
      </c>
      <c r="F87" s="94"/>
      <c r="G87" s="94"/>
      <c r="H87" s="94"/>
      <c r="I87" s="94"/>
      <c r="J87" s="95"/>
      <c r="K87" s="77"/>
      <c r="L87" s="77"/>
      <c r="M87" s="77"/>
      <c r="N87" s="77"/>
      <c r="O87" s="78"/>
    </row>
    <row r="88" spans="1:15" ht="15.75" x14ac:dyDescent="0.25">
      <c r="A88" s="3" t="s">
        <v>35</v>
      </c>
      <c r="B88" s="6">
        <v>17</v>
      </c>
      <c r="C88" s="4"/>
      <c r="D88" s="4"/>
      <c r="E88" s="7">
        <v>43.47</v>
      </c>
      <c r="F88" s="96"/>
      <c r="G88" s="96"/>
      <c r="H88" s="96"/>
      <c r="I88" s="96"/>
      <c r="J88" s="97"/>
      <c r="K88" s="77"/>
      <c r="L88" s="77"/>
      <c r="M88" s="77"/>
      <c r="N88" s="77"/>
      <c r="O88" s="78"/>
    </row>
    <row r="89" spans="1:15" ht="15.75" x14ac:dyDescent="0.25">
      <c r="A89" s="3" t="s">
        <v>101</v>
      </c>
      <c r="B89" s="6">
        <v>2320</v>
      </c>
      <c r="C89" s="4"/>
      <c r="D89" s="4"/>
      <c r="E89" s="7">
        <v>15.24</v>
      </c>
      <c r="F89" s="96"/>
      <c r="G89" s="96"/>
      <c r="H89" s="96"/>
      <c r="I89" s="96"/>
      <c r="J89" s="97"/>
      <c r="K89" s="77"/>
      <c r="L89" s="77"/>
      <c r="M89" s="77"/>
      <c r="N89" s="77"/>
      <c r="O89" s="78"/>
    </row>
    <row r="90" spans="1:15" ht="16.5" thickBot="1" x14ac:dyDescent="0.3">
      <c r="A90" s="8" t="s">
        <v>75</v>
      </c>
      <c r="B90" s="14">
        <v>2338</v>
      </c>
      <c r="C90" s="10"/>
      <c r="D90" s="10"/>
      <c r="E90" s="15">
        <v>28.76</v>
      </c>
      <c r="F90" s="96"/>
      <c r="G90" s="96"/>
      <c r="H90" s="96"/>
      <c r="I90" s="96"/>
      <c r="J90" s="97"/>
      <c r="K90" s="77"/>
      <c r="L90" s="77"/>
      <c r="M90" s="77"/>
      <c r="N90" s="77"/>
      <c r="O90" s="78"/>
    </row>
    <row r="91" spans="1:15" ht="15.75" thickBot="1" x14ac:dyDescent="0.3">
      <c r="A91" s="98"/>
      <c r="B91" s="99"/>
      <c r="C91" s="99"/>
      <c r="D91" s="99"/>
      <c r="E91" s="99"/>
      <c r="F91" s="100"/>
      <c r="G91" s="100"/>
      <c r="H91" s="100"/>
      <c r="I91" s="100"/>
      <c r="J91" s="101"/>
      <c r="K91" s="79"/>
      <c r="L91" s="79"/>
      <c r="M91" s="79"/>
      <c r="N91" s="79"/>
      <c r="O91" s="80"/>
    </row>
    <row r="92" spans="1:15" x14ac:dyDescent="0.2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</row>
    <row r="93" spans="1:15" x14ac:dyDescent="0.2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</row>
    <row r="94" spans="1:15" x14ac:dyDescent="0.25">
      <c r="A94" s="58"/>
      <c r="B94" s="58"/>
      <c r="C94" s="58"/>
      <c r="D94" s="58"/>
      <c r="E94" s="58"/>
      <c r="F94" s="58"/>
      <c r="G94" s="58"/>
      <c r="H94" s="58"/>
      <c r="I94" s="58"/>
      <c r="J94" s="58"/>
    </row>
  </sheetData>
  <mergeCells count="32">
    <mergeCell ref="F87:J91"/>
    <mergeCell ref="F85:J85"/>
    <mergeCell ref="K44:O44"/>
    <mergeCell ref="A74:E74"/>
    <mergeCell ref="F3:J3"/>
    <mergeCell ref="F11:J11"/>
    <mergeCell ref="A40:E40"/>
    <mergeCell ref="A55:E55"/>
    <mergeCell ref="A64:E64"/>
    <mergeCell ref="F51:J51"/>
    <mergeCell ref="F59:J59"/>
    <mergeCell ref="F64:J64"/>
    <mergeCell ref="F34:J34"/>
    <mergeCell ref="F38:J38"/>
    <mergeCell ref="K27:O27"/>
    <mergeCell ref="K31:O31"/>
    <mergeCell ref="K61:O91"/>
    <mergeCell ref="A1:L1"/>
    <mergeCell ref="M1:N1"/>
    <mergeCell ref="A3:E3"/>
    <mergeCell ref="A83:E83"/>
    <mergeCell ref="A7:E7"/>
    <mergeCell ref="F73:J73"/>
    <mergeCell ref="K23:O23"/>
    <mergeCell ref="A12:E12"/>
    <mergeCell ref="A21:E21"/>
    <mergeCell ref="A30:E30"/>
    <mergeCell ref="F27:J27"/>
    <mergeCell ref="K10:O10"/>
    <mergeCell ref="K3:O3"/>
    <mergeCell ref="K51:O51"/>
    <mergeCell ref="K57:O5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zoomScaleNormal="100" workbookViewId="0">
      <selection activeCell="B30" sqref="B30"/>
    </sheetView>
  </sheetViews>
  <sheetFormatPr defaultRowHeight="15" x14ac:dyDescent="0.25"/>
  <cols>
    <col min="2" max="2" width="57.5703125" customWidth="1"/>
    <col min="3" max="3" width="7.42578125" bestFit="1" customWidth="1"/>
    <col min="5" max="5" width="16.42578125" customWidth="1"/>
    <col min="6" max="6" width="14.5703125" bestFit="1" customWidth="1"/>
  </cols>
  <sheetData>
    <row r="1" spans="1:6" ht="15.75" x14ac:dyDescent="0.25">
      <c r="A1" s="41" t="s">
        <v>119</v>
      </c>
      <c r="B1" s="41" t="s">
        <v>120</v>
      </c>
      <c r="C1" s="41" t="s">
        <v>201</v>
      </c>
      <c r="D1" s="41" t="s">
        <v>121</v>
      </c>
      <c r="E1" s="41" t="s">
        <v>122</v>
      </c>
      <c r="F1" s="41" t="s">
        <v>123</v>
      </c>
    </row>
    <row r="2" spans="1:6" ht="15.75" x14ac:dyDescent="0.25">
      <c r="A2" s="23">
        <v>442</v>
      </c>
      <c r="B2" s="49" t="s">
        <v>124</v>
      </c>
      <c r="C2" s="49"/>
      <c r="D2" s="44"/>
      <c r="E2" s="45">
        <v>20.81</v>
      </c>
      <c r="F2" s="45">
        <f t="shared" ref="F2:F49" si="0">D2*E2</f>
        <v>0</v>
      </c>
    </row>
    <row r="3" spans="1:6" ht="15.75" x14ac:dyDescent="0.25">
      <c r="A3" s="23">
        <v>443</v>
      </c>
      <c r="B3" s="49" t="s">
        <v>125</v>
      </c>
      <c r="C3" s="49"/>
      <c r="D3" s="44"/>
      <c r="E3" s="45">
        <v>20.81</v>
      </c>
      <c r="F3" s="45">
        <f t="shared" si="0"/>
        <v>0</v>
      </c>
    </row>
    <row r="4" spans="1:6" ht="15.75" x14ac:dyDescent="0.25">
      <c r="A4" s="23">
        <v>444</v>
      </c>
      <c r="B4" s="49" t="s">
        <v>126</v>
      </c>
      <c r="C4" s="49"/>
      <c r="D4" s="44"/>
      <c r="E4" s="45">
        <v>20.81</v>
      </c>
      <c r="F4" s="45">
        <f t="shared" si="0"/>
        <v>0</v>
      </c>
    </row>
    <row r="5" spans="1:6" ht="15.75" x14ac:dyDescent="0.25">
      <c r="A5" s="23">
        <v>445</v>
      </c>
      <c r="B5" s="49" t="s">
        <v>127</v>
      </c>
      <c r="C5" s="49"/>
      <c r="D5" s="44"/>
      <c r="E5" s="45">
        <v>20.81</v>
      </c>
      <c r="F5" s="45">
        <f t="shared" si="0"/>
        <v>0</v>
      </c>
    </row>
    <row r="6" spans="1:6" ht="15.75" x14ac:dyDescent="0.25">
      <c r="A6" s="23">
        <v>476</v>
      </c>
      <c r="B6" s="49" t="s">
        <v>128</v>
      </c>
      <c r="C6" s="49"/>
      <c r="D6" s="44"/>
      <c r="E6" s="45">
        <v>20.81</v>
      </c>
      <c r="F6" s="45">
        <f t="shared" si="0"/>
        <v>0</v>
      </c>
    </row>
    <row r="7" spans="1:6" ht="15.75" x14ac:dyDescent="0.25">
      <c r="A7" s="23">
        <v>446</v>
      </c>
      <c r="B7" s="49" t="s">
        <v>129</v>
      </c>
      <c r="C7" s="49"/>
      <c r="D7" s="44"/>
      <c r="E7" s="45">
        <v>20.81</v>
      </c>
      <c r="F7" s="45">
        <f t="shared" si="0"/>
        <v>0</v>
      </c>
    </row>
    <row r="8" spans="1:6" ht="15.75" x14ac:dyDescent="0.25">
      <c r="A8" s="23">
        <v>478</v>
      </c>
      <c r="B8" s="49" t="s">
        <v>130</v>
      </c>
      <c r="C8" s="49"/>
      <c r="D8" s="44"/>
      <c r="E8" s="45">
        <v>20.81</v>
      </c>
      <c r="F8" s="45">
        <f t="shared" si="0"/>
        <v>0</v>
      </c>
    </row>
    <row r="9" spans="1:6" ht="15.75" x14ac:dyDescent="0.25">
      <c r="A9" s="23">
        <v>447</v>
      </c>
      <c r="B9" s="49" t="s">
        <v>131</v>
      </c>
      <c r="C9" s="49"/>
      <c r="D9" s="44"/>
      <c r="E9" s="45">
        <v>20.81</v>
      </c>
      <c r="F9" s="45">
        <f t="shared" si="0"/>
        <v>0</v>
      </c>
    </row>
    <row r="10" spans="1:6" ht="15.75" x14ac:dyDescent="0.25">
      <c r="A10" s="23">
        <v>448</v>
      </c>
      <c r="B10" s="49" t="s">
        <v>132</v>
      </c>
      <c r="C10" s="49"/>
      <c r="D10" s="44"/>
      <c r="E10" s="45">
        <v>20.81</v>
      </c>
      <c r="F10" s="45">
        <f t="shared" si="0"/>
        <v>0</v>
      </c>
    </row>
    <row r="11" spans="1:6" ht="15.75" x14ac:dyDescent="0.25">
      <c r="A11" s="23">
        <v>449</v>
      </c>
      <c r="B11" s="49" t="s">
        <v>133</v>
      </c>
      <c r="C11" s="49"/>
      <c r="D11" s="44"/>
      <c r="E11" s="45">
        <v>20.81</v>
      </c>
      <c r="F11" s="45">
        <f t="shared" si="0"/>
        <v>0</v>
      </c>
    </row>
    <row r="12" spans="1:6" ht="15.75" x14ac:dyDescent="0.25">
      <c r="A12" s="23">
        <v>450</v>
      </c>
      <c r="B12" s="49" t="s">
        <v>134</v>
      </c>
      <c r="C12" s="49"/>
      <c r="D12" s="44"/>
      <c r="E12" s="45">
        <v>20.81</v>
      </c>
      <c r="F12" s="45">
        <f t="shared" si="0"/>
        <v>0</v>
      </c>
    </row>
    <row r="13" spans="1:6" ht="15.75" x14ac:dyDescent="0.25">
      <c r="A13" s="23">
        <v>451</v>
      </c>
      <c r="B13" s="49" t="s">
        <v>135</v>
      </c>
      <c r="C13" s="49"/>
      <c r="D13" s="44"/>
      <c r="E13" s="45">
        <v>20.81</v>
      </c>
      <c r="F13" s="45">
        <f t="shared" si="0"/>
        <v>0</v>
      </c>
    </row>
    <row r="14" spans="1:6" ht="15.75" x14ac:dyDescent="0.25">
      <c r="A14" s="23">
        <v>452</v>
      </c>
      <c r="B14" s="49" t="s">
        <v>136</v>
      </c>
      <c r="C14" s="49"/>
      <c r="D14" s="44"/>
      <c r="E14" s="45">
        <v>20.81</v>
      </c>
      <c r="F14" s="45">
        <f t="shared" si="0"/>
        <v>0</v>
      </c>
    </row>
    <row r="15" spans="1:6" ht="15.75" x14ac:dyDescent="0.25">
      <c r="A15" s="23">
        <v>453</v>
      </c>
      <c r="B15" s="49" t="s">
        <v>137</v>
      </c>
      <c r="C15" s="49"/>
      <c r="D15" s="44"/>
      <c r="E15" s="45">
        <v>20.81</v>
      </c>
      <c r="F15" s="45">
        <f t="shared" si="0"/>
        <v>0</v>
      </c>
    </row>
    <row r="16" spans="1:6" ht="15.75" x14ac:dyDescent="0.25">
      <c r="A16" s="23">
        <v>454</v>
      </c>
      <c r="B16" s="49" t="s">
        <v>138</v>
      </c>
      <c r="C16" s="49"/>
      <c r="D16" s="44"/>
      <c r="E16" s="45">
        <v>20.81</v>
      </c>
      <c r="F16" s="45">
        <f t="shared" si="0"/>
        <v>0</v>
      </c>
    </row>
    <row r="17" spans="1:6" ht="15.75" x14ac:dyDescent="0.25">
      <c r="A17" s="23">
        <v>2108</v>
      </c>
      <c r="B17" s="49" t="s">
        <v>139</v>
      </c>
      <c r="C17" s="49"/>
      <c r="D17" s="44"/>
      <c r="E17" s="45">
        <v>20.81</v>
      </c>
      <c r="F17" s="45">
        <f t="shared" si="0"/>
        <v>0</v>
      </c>
    </row>
    <row r="18" spans="1:6" ht="15.75" x14ac:dyDescent="0.25">
      <c r="A18" s="23">
        <v>479</v>
      </c>
      <c r="B18" s="49" t="s">
        <v>140</v>
      </c>
      <c r="C18" s="49"/>
      <c r="D18" s="44"/>
      <c r="E18" s="45">
        <v>20.81</v>
      </c>
      <c r="F18" s="45">
        <f t="shared" si="0"/>
        <v>0</v>
      </c>
    </row>
    <row r="19" spans="1:6" ht="15.75" x14ac:dyDescent="0.25">
      <c r="A19" s="23">
        <v>481</v>
      </c>
      <c r="B19" s="49" t="s">
        <v>141</v>
      </c>
      <c r="C19" s="49"/>
      <c r="D19" s="44"/>
      <c r="E19" s="45">
        <v>20.81</v>
      </c>
      <c r="F19" s="45">
        <f t="shared" si="0"/>
        <v>0</v>
      </c>
    </row>
    <row r="20" spans="1:6" ht="15.75" x14ac:dyDescent="0.25">
      <c r="A20" s="23">
        <v>1397</v>
      </c>
      <c r="B20" s="49" t="s">
        <v>142</v>
      </c>
      <c r="C20" s="49"/>
      <c r="D20" s="44"/>
      <c r="E20" s="45">
        <v>20.81</v>
      </c>
      <c r="F20" s="45">
        <f t="shared" si="0"/>
        <v>0</v>
      </c>
    </row>
    <row r="21" spans="1:6" ht="15.75" x14ac:dyDescent="0.25">
      <c r="A21" s="23">
        <v>2222</v>
      </c>
      <c r="B21" s="49" t="s">
        <v>143</v>
      </c>
      <c r="C21" s="49"/>
      <c r="D21" s="44"/>
      <c r="E21" s="45">
        <v>20.81</v>
      </c>
      <c r="F21" s="45">
        <f t="shared" si="0"/>
        <v>0</v>
      </c>
    </row>
    <row r="22" spans="1:6" ht="15.75" x14ac:dyDescent="0.25">
      <c r="A22" s="23">
        <v>480</v>
      </c>
      <c r="B22" s="49" t="s">
        <v>144</v>
      </c>
      <c r="C22" s="49"/>
      <c r="D22" s="44"/>
      <c r="E22" s="45">
        <v>20.81</v>
      </c>
      <c r="F22" s="45">
        <f t="shared" si="0"/>
        <v>0</v>
      </c>
    </row>
    <row r="23" spans="1:6" ht="15.75" x14ac:dyDescent="0.25">
      <c r="A23" s="23">
        <v>464</v>
      </c>
      <c r="B23" s="49" t="s">
        <v>145</v>
      </c>
      <c r="C23" s="49"/>
      <c r="D23" s="44"/>
      <c r="E23" s="45">
        <v>20.81</v>
      </c>
      <c r="F23" s="45">
        <f t="shared" si="0"/>
        <v>0</v>
      </c>
    </row>
    <row r="24" spans="1:6" ht="15.75" x14ac:dyDescent="0.25">
      <c r="A24" s="23">
        <v>472</v>
      </c>
      <c r="B24" s="49" t="s">
        <v>146</v>
      </c>
      <c r="C24" s="49"/>
      <c r="D24" s="44"/>
      <c r="E24" s="45">
        <v>20.81</v>
      </c>
      <c r="F24" s="45">
        <f t="shared" si="0"/>
        <v>0</v>
      </c>
    </row>
    <row r="25" spans="1:6" ht="15.75" x14ac:dyDescent="0.25">
      <c r="A25" s="23">
        <v>508</v>
      </c>
      <c r="B25" s="49" t="s">
        <v>147</v>
      </c>
      <c r="C25" s="49"/>
      <c r="D25" s="44"/>
      <c r="E25" s="45">
        <v>20.81</v>
      </c>
      <c r="F25" s="45">
        <f t="shared" si="0"/>
        <v>0</v>
      </c>
    </row>
    <row r="26" spans="1:6" ht="15.75" x14ac:dyDescent="0.25">
      <c r="A26" s="23">
        <v>457</v>
      </c>
      <c r="B26" s="49" t="s">
        <v>148</v>
      </c>
      <c r="C26" s="49"/>
      <c r="D26" s="44"/>
      <c r="E26" s="45">
        <v>20.81</v>
      </c>
      <c r="F26" s="45">
        <f t="shared" si="0"/>
        <v>0</v>
      </c>
    </row>
    <row r="27" spans="1:6" ht="15.75" x14ac:dyDescent="0.25">
      <c r="A27" s="23">
        <v>458</v>
      </c>
      <c r="B27" s="49" t="s">
        <v>149</v>
      </c>
      <c r="C27" s="49"/>
      <c r="D27" s="44"/>
      <c r="E27" s="45">
        <v>20.81</v>
      </c>
      <c r="F27" s="45">
        <f t="shared" si="0"/>
        <v>0</v>
      </c>
    </row>
    <row r="28" spans="1:6" ht="15.75" x14ac:dyDescent="0.25">
      <c r="A28" s="23">
        <v>459</v>
      </c>
      <c r="B28" s="49" t="s">
        <v>150</v>
      </c>
      <c r="C28" s="49"/>
      <c r="D28" s="44"/>
      <c r="E28" s="45">
        <v>20.81</v>
      </c>
      <c r="F28" s="45">
        <f t="shared" si="0"/>
        <v>0</v>
      </c>
    </row>
    <row r="29" spans="1:6" ht="15.75" x14ac:dyDescent="0.25">
      <c r="A29" s="23">
        <v>456</v>
      </c>
      <c r="B29" s="49" t="s">
        <v>151</v>
      </c>
      <c r="C29" s="49"/>
      <c r="D29" s="44"/>
      <c r="E29" s="45">
        <v>20.81</v>
      </c>
      <c r="F29" s="45">
        <f t="shared" si="0"/>
        <v>0</v>
      </c>
    </row>
    <row r="30" spans="1:6" ht="15.75" x14ac:dyDescent="0.25">
      <c r="A30" s="23">
        <v>510</v>
      </c>
      <c r="B30" s="49" t="s">
        <v>152</v>
      </c>
      <c r="C30" s="49"/>
      <c r="D30" s="44"/>
      <c r="E30" s="45">
        <v>20.81</v>
      </c>
      <c r="F30" s="45">
        <f t="shared" si="0"/>
        <v>0</v>
      </c>
    </row>
    <row r="31" spans="1:6" ht="15.75" x14ac:dyDescent="0.25">
      <c r="A31" s="23">
        <v>1396</v>
      </c>
      <c r="B31" s="49" t="s">
        <v>153</v>
      </c>
      <c r="C31" s="49"/>
      <c r="D31" s="50"/>
      <c r="E31" s="45">
        <v>20.81</v>
      </c>
      <c r="F31" s="45">
        <f t="shared" si="0"/>
        <v>0</v>
      </c>
    </row>
    <row r="32" spans="1:6" ht="15.75" x14ac:dyDescent="0.25">
      <c r="A32" s="23">
        <v>469</v>
      </c>
      <c r="B32" s="49" t="s">
        <v>154</v>
      </c>
      <c r="C32" s="49"/>
      <c r="D32" s="44"/>
      <c r="E32" s="45">
        <v>20.81</v>
      </c>
      <c r="F32" s="45">
        <f t="shared" si="0"/>
        <v>0</v>
      </c>
    </row>
    <row r="33" spans="1:6" ht="15.75" x14ac:dyDescent="0.25">
      <c r="A33" s="23">
        <v>470</v>
      </c>
      <c r="B33" s="49" t="s">
        <v>155</v>
      </c>
      <c r="C33" s="49"/>
      <c r="D33" s="44"/>
      <c r="E33" s="45">
        <v>20.81</v>
      </c>
      <c r="F33" s="45">
        <f t="shared" si="0"/>
        <v>0</v>
      </c>
    </row>
    <row r="34" spans="1:6" ht="15.75" x14ac:dyDescent="0.25">
      <c r="A34" s="23">
        <v>468</v>
      </c>
      <c r="B34" s="49" t="s">
        <v>156</v>
      </c>
      <c r="C34" s="49"/>
      <c r="D34" s="44"/>
      <c r="E34" s="45">
        <v>20.81</v>
      </c>
      <c r="F34" s="45">
        <f t="shared" si="0"/>
        <v>0</v>
      </c>
    </row>
    <row r="35" spans="1:6" ht="15.75" x14ac:dyDescent="0.25">
      <c r="A35" s="23">
        <v>511</v>
      </c>
      <c r="B35" s="49" t="s">
        <v>157</v>
      </c>
      <c r="C35" s="49"/>
      <c r="D35" s="44"/>
      <c r="E35" s="45">
        <v>20.81</v>
      </c>
      <c r="F35" s="45">
        <f t="shared" si="0"/>
        <v>0</v>
      </c>
    </row>
    <row r="36" spans="1:6" ht="15.75" x14ac:dyDescent="0.25">
      <c r="A36" s="23">
        <v>465</v>
      </c>
      <c r="B36" s="49" t="s">
        <v>158</v>
      </c>
      <c r="C36" s="49"/>
      <c r="D36" s="44"/>
      <c r="E36" s="45">
        <v>20.81</v>
      </c>
      <c r="F36" s="45">
        <f t="shared" si="0"/>
        <v>0</v>
      </c>
    </row>
    <row r="37" spans="1:6" ht="15.75" x14ac:dyDescent="0.25">
      <c r="A37" s="23">
        <v>466</v>
      </c>
      <c r="B37" s="49" t="s">
        <v>159</v>
      </c>
      <c r="C37" s="49"/>
      <c r="D37" s="44"/>
      <c r="E37" s="45">
        <v>20.81</v>
      </c>
      <c r="F37" s="45">
        <f t="shared" si="0"/>
        <v>0</v>
      </c>
    </row>
    <row r="38" spans="1:6" ht="15.75" x14ac:dyDescent="0.25">
      <c r="A38" s="23">
        <v>467</v>
      </c>
      <c r="B38" s="49" t="s">
        <v>160</v>
      </c>
      <c r="C38" s="49"/>
      <c r="D38" s="44"/>
      <c r="E38" s="45">
        <v>20.81</v>
      </c>
      <c r="F38" s="45">
        <f t="shared" si="0"/>
        <v>0</v>
      </c>
    </row>
    <row r="39" spans="1:6" ht="15.75" x14ac:dyDescent="0.25">
      <c r="A39" s="23">
        <v>471</v>
      </c>
      <c r="B39" s="49" t="s">
        <v>161</v>
      </c>
      <c r="C39" s="49"/>
      <c r="D39" s="44"/>
      <c r="E39" s="45">
        <v>20.81</v>
      </c>
      <c r="F39" s="45">
        <f t="shared" si="0"/>
        <v>0</v>
      </c>
    </row>
    <row r="40" spans="1:6" ht="15.75" x14ac:dyDescent="0.25">
      <c r="A40" s="23">
        <v>473</v>
      </c>
      <c r="B40" s="49" t="s">
        <v>162</v>
      </c>
      <c r="C40" s="49"/>
      <c r="D40" s="44"/>
      <c r="E40" s="45">
        <v>20.81</v>
      </c>
      <c r="F40" s="45">
        <f t="shared" si="0"/>
        <v>0</v>
      </c>
    </row>
    <row r="41" spans="1:6" ht="15.75" x14ac:dyDescent="0.25">
      <c r="A41" s="23">
        <v>474</v>
      </c>
      <c r="B41" s="49" t="s">
        <v>163</v>
      </c>
      <c r="C41" s="49"/>
      <c r="D41" s="44"/>
      <c r="E41" s="45">
        <v>20.81</v>
      </c>
      <c r="F41" s="45">
        <f t="shared" si="0"/>
        <v>0</v>
      </c>
    </row>
    <row r="42" spans="1:6" ht="15.75" x14ac:dyDescent="0.25">
      <c r="A42" s="23">
        <v>475</v>
      </c>
      <c r="B42" s="49" t="s">
        <v>164</v>
      </c>
      <c r="C42" s="49"/>
      <c r="D42" s="44"/>
      <c r="E42" s="45">
        <v>20.81</v>
      </c>
      <c r="F42" s="45">
        <f t="shared" si="0"/>
        <v>0</v>
      </c>
    </row>
    <row r="43" spans="1:6" ht="15.75" x14ac:dyDescent="0.25">
      <c r="A43" s="23">
        <v>509</v>
      </c>
      <c r="B43" s="49" t="s">
        <v>165</v>
      </c>
      <c r="C43" s="49"/>
      <c r="D43" s="44"/>
      <c r="E43" s="45">
        <v>20.81</v>
      </c>
      <c r="F43" s="45">
        <f t="shared" si="0"/>
        <v>0</v>
      </c>
    </row>
    <row r="44" spans="1:6" ht="15.75" x14ac:dyDescent="0.25">
      <c r="A44" s="23">
        <v>2151</v>
      </c>
      <c r="B44" s="49" t="s">
        <v>166</v>
      </c>
      <c r="C44" s="49"/>
      <c r="D44" s="44"/>
      <c r="E44" s="45">
        <v>20.81</v>
      </c>
      <c r="F44" s="45">
        <f t="shared" si="0"/>
        <v>0</v>
      </c>
    </row>
    <row r="45" spans="1:6" ht="15.75" x14ac:dyDescent="0.25">
      <c r="A45" s="23">
        <v>2149</v>
      </c>
      <c r="B45" s="49" t="s">
        <v>167</v>
      </c>
      <c r="C45" s="49"/>
      <c r="D45" s="44"/>
      <c r="E45" s="45">
        <v>20.81</v>
      </c>
      <c r="F45" s="45">
        <f t="shared" si="0"/>
        <v>0</v>
      </c>
    </row>
    <row r="46" spans="1:6" ht="15.75" x14ac:dyDescent="0.25">
      <c r="A46" s="23">
        <v>2191</v>
      </c>
      <c r="B46" s="49" t="s">
        <v>168</v>
      </c>
      <c r="C46" s="49"/>
      <c r="D46" s="44"/>
      <c r="E46" s="45">
        <v>20.81</v>
      </c>
      <c r="F46" s="45">
        <f t="shared" si="0"/>
        <v>0</v>
      </c>
    </row>
    <row r="47" spans="1:6" ht="15.75" x14ac:dyDescent="0.25">
      <c r="A47" s="23">
        <v>440</v>
      </c>
      <c r="B47" s="49" t="s">
        <v>169</v>
      </c>
      <c r="C47" s="49"/>
      <c r="D47" s="44"/>
      <c r="E47" s="45">
        <v>5.62</v>
      </c>
      <c r="F47" s="45">
        <f t="shared" si="0"/>
        <v>0</v>
      </c>
    </row>
    <row r="48" spans="1:6" ht="15.75" x14ac:dyDescent="0.25">
      <c r="A48" s="23">
        <v>482</v>
      </c>
      <c r="B48" s="49" t="s">
        <v>170</v>
      </c>
      <c r="C48" s="49"/>
      <c r="D48" s="44"/>
      <c r="E48" s="45">
        <v>5.62</v>
      </c>
      <c r="F48" s="45">
        <f t="shared" si="0"/>
        <v>0</v>
      </c>
    </row>
    <row r="49" spans="1:6" ht="15.75" x14ac:dyDescent="0.25">
      <c r="A49" s="23">
        <v>483</v>
      </c>
      <c r="B49" s="49" t="s">
        <v>171</v>
      </c>
      <c r="C49" s="49"/>
      <c r="D49" s="44"/>
      <c r="E49" s="45">
        <v>5.62</v>
      </c>
      <c r="F49" s="45">
        <f t="shared" si="0"/>
        <v>0</v>
      </c>
    </row>
    <row r="50" spans="1:6" ht="15.75" x14ac:dyDescent="0.25">
      <c r="A50" s="39">
        <v>2500</v>
      </c>
      <c r="B50" s="49" t="s">
        <v>172</v>
      </c>
      <c r="C50" s="49"/>
      <c r="D50" s="39"/>
      <c r="E50" s="45">
        <v>30.5</v>
      </c>
      <c r="F50" s="45">
        <f>D53*E53</f>
        <v>0</v>
      </c>
    </row>
    <row r="51" spans="1:6" ht="15.75" x14ac:dyDescent="0.25">
      <c r="A51" s="23">
        <v>2501</v>
      </c>
      <c r="B51" s="49" t="s">
        <v>173</v>
      </c>
      <c r="C51" s="49"/>
      <c r="D51" s="44"/>
      <c r="E51" s="45">
        <v>30.5</v>
      </c>
      <c r="F51" s="45">
        <f>D51*E51</f>
        <v>0</v>
      </c>
    </row>
    <row r="52" spans="1:6" ht="15.75" x14ac:dyDescent="0.25">
      <c r="A52" s="23">
        <v>2502</v>
      </c>
      <c r="B52" s="49" t="s">
        <v>174</v>
      </c>
      <c r="C52" s="49"/>
      <c r="D52" s="44"/>
      <c r="E52" s="45">
        <v>30.5</v>
      </c>
      <c r="F52" s="45">
        <f>D52*E52</f>
        <v>0</v>
      </c>
    </row>
    <row r="53" spans="1:6" ht="15.75" x14ac:dyDescent="0.25">
      <c r="A53" s="23">
        <v>2418</v>
      </c>
      <c r="B53" s="49" t="s">
        <v>175</v>
      </c>
      <c r="C53" s="49"/>
      <c r="D53" s="44"/>
      <c r="E53" s="45">
        <v>30.92</v>
      </c>
      <c r="F53" s="45">
        <f>D53*E53</f>
        <v>0</v>
      </c>
    </row>
    <row r="54" spans="1:6" ht="15.75" x14ac:dyDescent="0.25">
      <c r="A54" s="66" t="s">
        <v>113</v>
      </c>
      <c r="B54" s="67"/>
      <c r="C54" s="67"/>
      <c r="D54" s="67"/>
      <c r="E54" s="68"/>
      <c r="F54" s="48">
        <f>SUM(F2:F51)</f>
        <v>0</v>
      </c>
    </row>
  </sheetData>
  <protectedRanges>
    <protectedRange sqref="D51:D53 D2:D49" name="Intervalo2 DADOS_1"/>
  </protectedRanges>
  <mergeCells count="1">
    <mergeCell ref="A54:E54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zoomScaleNormal="100" workbookViewId="0">
      <selection activeCell="E2" sqref="E2:E25"/>
    </sheetView>
  </sheetViews>
  <sheetFormatPr defaultColWidth="49.85546875" defaultRowHeight="15" x14ac:dyDescent="0.25"/>
  <cols>
    <col min="1" max="1" width="55.5703125" customWidth="1"/>
    <col min="2" max="2" width="5.5703125" bestFit="1" customWidth="1"/>
    <col min="3" max="3" width="6.5703125" bestFit="1" customWidth="1"/>
    <col min="4" max="4" width="6.85546875" customWidth="1"/>
    <col min="5" max="5" width="10.7109375" bestFit="1" customWidth="1"/>
    <col min="6" max="6" width="14.5703125" bestFit="1" customWidth="1"/>
  </cols>
  <sheetData>
    <row r="1" spans="1:6" ht="15.75" x14ac:dyDescent="0.25">
      <c r="A1" s="41" t="s">
        <v>120</v>
      </c>
      <c r="B1" s="41" t="s">
        <v>119</v>
      </c>
      <c r="C1" s="41" t="s">
        <v>176</v>
      </c>
      <c r="D1" s="41" t="s">
        <v>121</v>
      </c>
      <c r="E1" s="41" t="s">
        <v>122</v>
      </c>
      <c r="F1" s="41" t="s">
        <v>123</v>
      </c>
    </row>
    <row r="2" spans="1:6" ht="15.75" x14ac:dyDescent="0.25">
      <c r="A2" s="42" t="s">
        <v>177</v>
      </c>
      <c r="B2" s="43">
        <v>2152</v>
      </c>
      <c r="C2" s="39"/>
      <c r="D2" s="44"/>
      <c r="E2" s="45">
        <v>22.91</v>
      </c>
      <c r="F2" s="45">
        <f t="shared" ref="F2:F25" si="0">D2*E2</f>
        <v>0</v>
      </c>
    </row>
    <row r="3" spans="1:6" ht="15.75" x14ac:dyDescent="0.25">
      <c r="A3" s="42" t="s">
        <v>178</v>
      </c>
      <c r="B3" s="43">
        <v>2153</v>
      </c>
      <c r="C3" s="39"/>
      <c r="D3" s="44"/>
      <c r="E3" s="45">
        <v>22.91</v>
      </c>
      <c r="F3" s="45">
        <f t="shared" si="0"/>
        <v>0</v>
      </c>
    </row>
    <row r="4" spans="1:6" ht="15.75" x14ac:dyDescent="0.25">
      <c r="A4" s="42" t="s">
        <v>179</v>
      </c>
      <c r="B4" s="43">
        <v>2154</v>
      </c>
      <c r="C4" s="39"/>
      <c r="D4" s="44"/>
      <c r="E4" s="45">
        <v>22.91</v>
      </c>
      <c r="F4" s="45">
        <f t="shared" si="0"/>
        <v>0</v>
      </c>
    </row>
    <row r="5" spans="1:6" ht="15.75" x14ac:dyDescent="0.25">
      <c r="A5" s="42" t="s">
        <v>180</v>
      </c>
      <c r="B5" s="43">
        <v>2155</v>
      </c>
      <c r="C5" s="39"/>
      <c r="D5" s="44"/>
      <c r="E5" s="45">
        <v>22.91</v>
      </c>
      <c r="F5" s="45">
        <f t="shared" si="0"/>
        <v>0</v>
      </c>
    </row>
    <row r="6" spans="1:6" ht="15.75" x14ac:dyDescent="0.25">
      <c r="A6" s="42" t="s">
        <v>181</v>
      </c>
      <c r="B6" s="43">
        <v>2156</v>
      </c>
      <c r="C6" s="46"/>
      <c r="D6" s="44"/>
      <c r="E6" s="45">
        <v>22.91</v>
      </c>
      <c r="F6" s="45">
        <f t="shared" si="0"/>
        <v>0</v>
      </c>
    </row>
    <row r="7" spans="1:6" ht="15.75" x14ac:dyDescent="0.25">
      <c r="A7" s="42" t="s">
        <v>182</v>
      </c>
      <c r="B7" s="43">
        <v>2157</v>
      </c>
      <c r="C7" s="39"/>
      <c r="D7" s="44"/>
      <c r="E7" s="45">
        <v>22.91</v>
      </c>
      <c r="F7" s="45">
        <f t="shared" si="0"/>
        <v>0</v>
      </c>
    </row>
    <row r="8" spans="1:6" ht="15.75" x14ac:dyDescent="0.25">
      <c r="A8" s="42" t="s">
        <v>183</v>
      </c>
      <c r="B8" s="43">
        <v>2158</v>
      </c>
      <c r="C8" s="47"/>
      <c r="D8" s="44"/>
      <c r="E8" s="45">
        <v>22.91</v>
      </c>
      <c r="F8" s="45">
        <f t="shared" si="0"/>
        <v>0</v>
      </c>
    </row>
    <row r="9" spans="1:6" ht="15.75" x14ac:dyDescent="0.25">
      <c r="A9" s="42" t="s">
        <v>184</v>
      </c>
      <c r="B9" s="43">
        <v>2159</v>
      </c>
      <c r="C9" s="39"/>
      <c r="D9" s="44"/>
      <c r="E9" s="45">
        <v>22.91</v>
      </c>
      <c r="F9" s="45">
        <f t="shared" si="0"/>
        <v>0</v>
      </c>
    </row>
    <row r="10" spans="1:6" ht="15.75" x14ac:dyDescent="0.25">
      <c r="A10" s="42" t="s">
        <v>185</v>
      </c>
      <c r="B10" s="43">
        <v>2160</v>
      </c>
      <c r="C10" s="39"/>
      <c r="D10" s="44"/>
      <c r="E10" s="45">
        <v>22.91</v>
      </c>
      <c r="F10" s="45">
        <f t="shared" si="0"/>
        <v>0</v>
      </c>
    </row>
    <row r="11" spans="1:6" ht="15.75" x14ac:dyDescent="0.25">
      <c r="A11" s="42" t="s">
        <v>186</v>
      </c>
      <c r="B11" s="43">
        <v>2161</v>
      </c>
      <c r="C11" s="39"/>
      <c r="D11" s="44"/>
      <c r="E11" s="45">
        <v>22.91</v>
      </c>
      <c r="F11" s="45">
        <f t="shared" si="0"/>
        <v>0</v>
      </c>
    </row>
    <row r="12" spans="1:6" ht="15.75" x14ac:dyDescent="0.25">
      <c r="A12" s="42" t="s">
        <v>187</v>
      </c>
      <c r="B12" s="43">
        <v>2162</v>
      </c>
      <c r="C12" s="39"/>
      <c r="D12" s="44"/>
      <c r="E12" s="45">
        <v>22.91</v>
      </c>
      <c r="F12" s="45">
        <f t="shared" si="0"/>
        <v>0</v>
      </c>
    </row>
    <row r="13" spans="1:6" ht="15.75" x14ac:dyDescent="0.25">
      <c r="A13" s="42" t="s">
        <v>188</v>
      </c>
      <c r="B13" s="43">
        <v>2163</v>
      </c>
      <c r="C13" s="39"/>
      <c r="D13" s="44"/>
      <c r="E13" s="45">
        <v>22.91</v>
      </c>
      <c r="F13" s="45">
        <f t="shared" si="0"/>
        <v>0</v>
      </c>
    </row>
    <row r="14" spans="1:6" ht="15.75" x14ac:dyDescent="0.25">
      <c r="A14" s="42" t="s">
        <v>189</v>
      </c>
      <c r="B14" s="43">
        <v>2164</v>
      </c>
      <c r="C14" s="39"/>
      <c r="D14" s="44"/>
      <c r="E14" s="45">
        <v>22.91</v>
      </c>
      <c r="F14" s="45">
        <f t="shared" si="0"/>
        <v>0</v>
      </c>
    </row>
    <row r="15" spans="1:6" ht="15.75" x14ac:dyDescent="0.25">
      <c r="A15" s="42" t="s">
        <v>190</v>
      </c>
      <c r="B15" s="43">
        <v>2199</v>
      </c>
      <c r="C15" s="39"/>
      <c r="D15" s="44"/>
      <c r="E15" s="45">
        <v>22.91</v>
      </c>
      <c r="F15" s="45">
        <f t="shared" si="0"/>
        <v>0</v>
      </c>
    </row>
    <row r="16" spans="1:6" ht="15.75" x14ac:dyDescent="0.25">
      <c r="A16" s="42" t="s">
        <v>191</v>
      </c>
      <c r="B16" s="43">
        <v>2165</v>
      </c>
      <c r="C16" s="39"/>
      <c r="D16" s="44"/>
      <c r="E16" s="45">
        <v>22.91</v>
      </c>
      <c r="F16" s="45">
        <f t="shared" si="0"/>
        <v>0</v>
      </c>
    </row>
    <row r="17" spans="1:6" ht="15.75" x14ac:dyDescent="0.25">
      <c r="A17" s="42" t="s">
        <v>192</v>
      </c>
      <c r="B17" s="43">
        <v>2166</v>
      </c>
      <c r="C17" s="39"/>
      <c r="D17" s="44"/>
      <c r="E17" s="45">
        <v>22.91</v>
      </c>
      <c r="F17" s="45">
        <f t="shared" si="0"/>
        <v>0</v>
      </c>
    </row>
    <row r="18" spans="1:6" ht="15.75" x14ac:dyDescent="0.25">
      <c r="A18" s="42" t="s">
        <v>193</v>
      </c>
      <c r="B18" s="43">
        <v>2167</v>
      </c>
      <c r="C18" s="47"/>
      <c r="D18" s="44"/>
      <c r="E18" s="45">
        <v>22.91</v>
      </c>
      <c r="F18" s="45">
        <f t="shared" si="0"/>
        <v>0</v>
      </c>
    </row>
    <row r="19" spans="1:6" ht="15.75" x14ac:dyDescent="0.25">
      <c r="A19" s="42" t="s">
        <v>194</v>
      </c>
      <c r="B19" s="43">
        <v>2168</v>
      </c>
      <c r="C19" s="39"/>
      <c r="D19" s="44"/>
      <c r="E19" s="45">
        <v>22.91</v>
      </c>
      <c r="F19" s="45">
        <f t="shared" si="0"/>
        <v>0</v>
      </c>
    </row>
    <row r="20" spans="1:6" ht="15.75" x14ac:dyDescent="0.25">
      <c r="A20" s="42" t="s">
        <v>195</v>
      </c>
      <c r="B20" s="43">
        <v>2169</v>
      </c>
      <c r="C20" s="47"/>
      <c r="D20" s="44"/>
      <c r="E20" s="45">
        <v>22.91</v>
      </c>
      <c r="F20" s="45">
        <f t="shared" si="0"/>
        <v>0</v>
      </c>
    </row>
    <row r="21" spans="1:6" ht="15.75" x14ac:dyDescent="0.25">
      <c r="A21" s="42" t="s">
        <v>196</v>
      </c>
      <c r="B21" s="43">
        <v>2170</v>
      </c>
      <c r="C21" s="47"/>
      <c r="D21" s="44"/>
      <c r="E21" s="45">
        <v>22.91</v>
      </c>
      <c r="F21" s="45">
        <f t="shared" si="0"/>
        <v>0</v>
      </c>
    </row>
    <row r="22" spans="1:6" ht="15.75" x14ac:dyDescent="0.25">
      <c r="A22" s="42" t="s">
        <v>197</v>
      </c>
      <c r="B22" s="43">
        <v>2171</v>
      </c>
      <c r="C22" s="47"/>
      <c r="D22" s="44"/>
      <c r="E22" s="45">
        <v>22.91</v>
      </c>
      <c r="F22" s="45">
        <f t="shared" si="0"/>
        <v>0</v>
      </c>
    </row>
    <row r="23" spans="1:6" ht="15.75" x14ac:dyDescent="0.25">
      <c r="A23" s="42" t="s">
        <v>198</v>
      </c>
      <c r="B23" s="43">
        <v>2172</v>
      </c>
      <c r="C23" s="39"/>
      <c r="D23" s="44"/>
      <c r="E23" s="45">
        <v>22.91</v>
      </c>
      <c r="F23" s="45">
        <f t="shared" si="0"/>
        <v>0</v>
      </c>
    </row>
    <row r="24" spans="1:6" ht="15.75" x14ac:dyDescent="0.25">
      <c r="A24" s="42" t="s">
        <v>199</v>
      </c>
      <c r="B24" s="43">
        <v>2173</v>
      </c>
      <c r="C24" s="39"/>
      <c r="D24" s="44"/>
      <c r="E24" s="45">
        <v>22.91</v>
      </c>
      <c r="F24" s="45">
        <f t="shared" si="0"/>
        <v>0</v>
      </c>
    </row>
    <row r="25" spans="1:6" ht="15.75" x14ac:dyDescent="0.25">
      <c r="A25" s="42" t="s">
        <v>200</v>
      </c>
      <c r="B25" s="43">
        <v>2198</v>
      </c>
      <c r="C25" s="39"/>
      <c r="D25" s="44"/>
      <c r="E25" s="45">
        <v>22.91</v>
      </c>
      <c r="F25" s="45">
        <f t="shared" si="0"/>
        <v>0</v>
      </c>
    </row>
    <row r="26" spans="1:6" ht="15.75" x14ac:dyDescent="0.25">
      <c r="A26" s="66" t="s">
        <v>113</v>
      </c>
      <c r="B26" s="67"/>
      <c r="C26" s="67"/>
      <c r="D26" s="67"/>
      <c r="E26" s="68"/>
      <c r="F26" s="48">
        <f>SUM(F2:F25)</f>
        <v>0</v>
      </c>
    </row>
  </sheetData>
  <protectedRanges>
    <protectedRange sqref="D2:D25" name="Intervalo2 DADOS"/>
  </protectedRanges>
  <mergeCells count="1">
    <mergeCell ref="A26:E26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zoomScaleNormal="100" workbookViewId="0">
      <selection activeCell="E2" sqref="E2:E25"/>
    </sheetView>
  </sheetViews>
  <sheetFormatPr defaultRowHeight="15" x14ac:dyDescent="0.25"/>
  <cols>
    <col min="1" max="1" width="56" customWidth="1"/>
    <col min="2" max="2" width="5.5703125" bestFit="1" customWidth="1"/>
    <col min="5" max="5" width="10.42578125" customWidth="1"/>
    <col min="6" max="6" width="14.5703125" bestFit="1" customWidth="1"/>
  </cols>
  <sheetData>
    <row r="1" spans="1:6" ht="15.75" x14ac:dyDescent="0.25">
      <c r="A1" s="41" t="s">
        <v>120</v>
      </c>
      <c r="B1" s="41" t="s">
        <v>119</v>
      </c>
      <c r="C1" s="41" t="s">
        <v>201</v>
      </c>
      <c r="D1" s="41" t="s">
        <v>121</v>
      </c>
      <c r="E1" s="41" t="s">
        <v>122</v>
      </c>
      <c r="F1" s="41" t="s">
        <v>123</v>
      </c>
    </row>
    <row r="2" spans="1:6" ht="15.75" x14ac:dyDescent="0.25">
      <c r="A2" s="39" t="s">
        <v>202</v>
      </c>
      <c r="B2" s="39">
        <v>512</v>
      </c>
      <c r="C2" s="39"/>
      <c r="D2" s="44"/>
      <c r="E2" s="45">
        <v>23.36</v>
      </c>
      <c r="F2" s="45">
        <f t="shared" ref="F2:F25" si="0">D2*E2</f>
        <v>0</v>
      </c>
    </row>
    <row r="3" spans="1:6" ht="15.75" x14ac:dyDescent="0.25">
      <c r="A3" s="39" t="s">
        <v>203</v>
      </c>
      <c r="B3" s="39">
        <v>513</v>
      </c>
      <c r="C3" s="39"/>
      <c r="D3" s="44"/>
      <c r="E3" s="45">
        <v>23.36</v>
      </c>
      <c r="F3" s="45">
        <f t="shared" si="0"/>
        <v>0</v>
      </c>
    </row>
    <row r="4" spans="1:6" ht="15.75" x14ac:dyDescent="0.25">
      <c r="A4" s="39" t="s">
        <v>204</v>
      </c>
      <c r="B4" s="39">
        <v>514</v>
      </c>
      <c r="C4" s="39"/>
      <c r="D4" s="44"/>
      <c r="E4" s="45">
        <v>23.36</v>
      </c>
      <c r="F4" s="45">
        <f t="shared" si="0"/>
        <v>0</v>
      </c>
    </row>
    <row r="5" spans="1:6" ht="15.75" x14ac:dyDescent="0.25">
      <c r="A5" s="39" t="s">
        <v>205</v>
      </c>
      <c r="B5" s="39">
        <v>515</v>
      </c>
      <c r="C5" s="39"/>
      <c r="D5" s="44"/>
      <c r="E5" s="45">
        <v>23.36</v>
      </c>
      <c r="F5" s="45">
        <f t="shared" si="0"/>
        <v>0</v>
      </c>
    </row>
    <row r="6" spans="1:6" ht="15.75" x14ac:dyDescent="0.25">
      <c r="A6" s="39" t="s">
        <v>206</v>
      </c>
      <c r="B6" s="39">
        <v>517</v>
      </c>
      <c r="C6" s="39"/>
      <c r="D6" s="44"/>
      <c r="E6" s="45">
        <v>23.36</v>
      </c>
      <c r="F6" s="45">
        <f t="shared" si="0"/>
        <v>0</v>
      </c>
    </row>
    <row r="7" spans="1:6" ht="15.75" x14ac:dyDescent="0.25">
      <c r="A7" s="39" t="s">
        <v>207</v>
      </c>
      <c r="B7" s="39">
        <v>523</v>
      </c>
      <c r="C7" s="39"/>
      <c r="D7" s="44"/>
      <c r="E7" s="45">
        <v>23.36</v>
      </c>
      <c r="F7" s="45">
        <f t="shared" si="0"/>
        <v>0</v>
      </c>
    </row>
    <row r="8" spans="1:6" ht="15.75" x14ac:dyDescent="0.25">
      <c r="A8" s="39" t="s">
        <v>208</v>
      </c>
      <c r="B8" s="39">
        <v>528</v>
      </c>
      <c r="C8" s="39"/>
      <c r="D8" s="44"/>
      <c r="E8" s="45">
        <v>23.36</v>
      </c>
      <c r="F8" s="45">
        <f t="shared" si="0"/>
        <v>0</v>
      </c>
    </row>
    <row r="9" spans="1:6" ht="15.75" x14ac:dyDescent="0.25">
      <c r="A9" s="39" t="s">
        <v>209</v>
      </c>
      <c r="B9" s="39">
        <v>530</v>
      </c>
      <c r="C9" s="39"/>
      <c r="D9" s="44"/>
      <c r="E9" s="45">
        <v>23.36</v>
      </c>
      <c r="F9" s="45">
        <f t="shared" si="0"/>
        <v>0</v>
      </c>
    </row>
    <row r="10" spans="1:6" ht="15.75" x14ac:dyDescent="0.25">
      <c r="A10" s="39" t="s">
        <v>210</v>
      </c>
      <c r="B10" s="39">
        <v>524</v>
      </c>
      <c r="C10" s="39"/>
      <c r="D10" s="44"/>
      <c r="E10" s="45">
        <v>23.36</v>
      </c>
      <c r="F10" s="45">
        <f t="shared" si="0"/>
        <v>0</v>
      </c>
    </row>
    <row r="11" spans="1:6" ht="15.75" x14ac:dyDescent="0.25">
      <c r="A11" s="39" t="s">
        <v>211</v>
      </c>
      <c r="B11" s="39">
        <v>531</v>
      </c>
      <c r="C11" s="39"/>
      <c r="D11" s="44"/>
      <c r="E11" s="45">
        <v>23.36</v>
      </c>
      <c r="F11" s="45">
        <f t="shared" si="0"/>
        <v>0</v>
      </c>
    </row>
    <row r="12" spans="1:6" ht="15.75" x14ac:dyDescent="0.25">
      <c r="A12" s="39" t="s">
        <v>212</v>
      </c>
      <c r="B12" s="39">
        <v>519</v>
      </c>
      <c r="C12" s="39"/>
      <c r="D12" s="44"/>
      <c r="E12" s="45">
        <v>23.36</v>
      </c>
      <c r="F12" s="45">
        <f t="shared" si="0"/>
        <v>0</v>
      </c>
    </row>
    <row r="13" spans="1:6" ht="15.75" x14ac:dyDescent="0.25">
      <c r="A13" s="39" t="s">
        <v>213</v>
      </c>
      <c r="B13" s="39">
        <v>525</v>
      </c>
      <c r="C13" s="39"/>
      <c r="D13" s="44"/>
      <c r="E13" s="45">
        <v>23.36</v>
      </c>
      <c r="F13" s="45">
        <f t="shared" si="0"/>
        <v>0</v>
      </c>
    </row>
    <row r="14" spans="1:6" ht="15.75" x14ac:dyDescent="0.25">
      <c r="A14" s="39" t="s">
        <v>214</v>
      </c>
      <c r="B14" s="39">
        <v>1381</v>
      </c>
      <c r="C14" s="39"/>
      <c r="D14" s="44"/>
      <c r="E14" s="45">
        <v>23.36</v>
      </c>
      <c r="F14" s="45">
        <f t="shared" si="0"/>
        <v>0</v>
      </c>
    </row>
    <row r="15" spans="1:6" ht="15.75" x14ac:dyDescent="0.25">
      <c r="A15" s="39" t="s">
        <v>215</v>
      </c>
      <c r="B15" s="39">
        <v>520</v>
      </c>
      <c r="C15" s="39"/>
      <c r="D15" s="44"/>
      <c r="E15" s="45">
        <v>23.36</v>
      </c>
      <c r="F15" s="45">
        <f t="shared" si="0"/>
        <v>0</v>
      </c>
    </row>
    <row r="16" spans="1:6" ht="15.75" x14ac:dyDescent="0.25">
      <c r="A16" s="39" t="s">
        <v>216</v>
      </c>
      <c r="B16" s="39">
        <v>526</v>
      </c>
      <c r="C16" s="39"/>
      <c r="D16" s="44"/>
      <c r="E16" s="45">
        <v>23.36</v>
      </c>
      <c r="F16" s="45">
        <f t="shared" si="0"/>
        <v>0</v>
      </c>
    </row>
    <row r="17" spans="1:6" ht="15.75" x14ac:dyDescent="0.25">
      <c r="A17" s="39" t="s">
        <v>217</v>
      </c>
      <c r="B17" s="39">
        <v>529</v>
      </c>
      <c r="C17" s="39"/>
      <c r="D17" s="44"/>
      <c r="E17" s="45">
        <v>23.36</v>
      </c>
      <c r="F17" s="45">
        <f t="shared" si="0"/>
        <v>0</v>
      </c>
    </row>
    <row r="18" spans="1:6" ht="15.75" x14ac:dyDescent="0.25">
      <c r="A18" s="39" t="s">
        <v>218</v>
      </c>
      <c r="B18" s="39">
        <v>522</v>
      </c>
      <c r="C18" s="39"/>
      <c r="D18" s="44"/>
      <c r="E18" s="45">
        <v>23.36</v>
      </c>
      <c r="F18" s="45">
        <f t="shared" si="0"/>
        <v>0</v>
      </c>
    </row>
    <row r="19" spans="1:6" ht="15.75" x14ac:dyDescent="0.25">
      <c r="A19" s="39" t="s">
        <v>219</v>
      </c>
      <c r="B19" s="39">
        <v>527</v>
      </c>
      <c r="C19" s="39"/>
      <c r="D19" s="44"/>
      <c r="E19" s="45">
        <v>23.36</v>
      </c>
      <c r="F19" s="45">
        <f t="shared" si="0"/>
        <v>0</v>
      </c>
    </row>
    <row r="20" spans="1:6" ht="15.75" x14ac:dyDescent="0.25">
      <c r="A20" s="39" t="s">
        <v>220</v>
      </c>
      <c r="B20" s="39">
        <v>516</v>
      </c>
      <c r="C20" s="39"/>
      <c r="D20" s="44"/>
      <c r="E20" s="45">
        <v>23.36</v>
      </c>
      <c r="F20" s="45">
        <f t="shared" si="0"/>
        <v>0</v>
      </c>
    </row>
    <row r="21" spans="1:6" ht="15.75" x14ac:dyDescent="0.25">
      <c r="A21" s="39" t="s">
        <v>221</v>
      </c>
      <c r="B21" s="39">
        <v>1380</v>
      </c>
      <c r="C21" s="39"/>
      <c r="D21" s="44"/>
      <c r="E21" s="45">
        <v>23.36</v>
      </c>
      <c r="F21" s="45">
        <f t="shared" si="0"/>
        <v>0</v>
      </c>
    </row>
    <row r="22" spans="1:6" ht="15.75" x14ac:dyDescent="0.25">
      <c r="A22" s="39" t="s">
        <v>222</v>
      </c>
      <c r="B22" s="39">
        <v>518</v>
      </c>
      <c r="C22" s="39"/>
      <c r="D22" s="44"/>
      <c r="E22" s="45">
        <v>23.36</v>
      </c>
      <c r="F22" s="45">
        <f t="shared" si="0"/>
        <v>0</v>
      </c>
    </row>
    <row r="23" spans="1:6" ht="15.75" x14ac:dyDescent="0.25">
      <c r="A23" s="39" t="s">
        <v>223</v>
      </c>
      <c r="B23" s="39">
        <v>521</v>
      </c>
      <c r="C23" s="39"/>
      <c r="D23" s="44"/>
      <c r="E23" s="45">
        <v>23.36</v>
      </c>
      <c r="F23" s="45">
        <f t="shared" si="0"/>
        <v>0</v>
      </c>
    </row>
    <row r="24" spans="1:6" ht="15.75" x14ac:dyDescent="0.25">
      <c r="A24" s="39" t="s">
        <v>224</v>
      </c>
      <c r="B24" s="51">
        <v>2253</v>
      </c>
      <c r="C24" s="39"/>
      <c r="D24" s="44"/>
      <c r="E24" s="45">
        <v>23.36</v>
      </c>
      <c r="F24" s="45">
        <f t="shared" si="0"/>
        <v>0</v>
      </c>
    </row>
    <row r="25" spans="1:6" ht="15.75" x14ac:dyDescent="0.25">
      <c r="A25" s="39" t="s">
        <v>225</v>
      </c>
      <c r="B25" s="51">
        <v>2254</v>
      </c>
      <c r="C25" s="39"/>
      <c r="D25" s="44"/>
      <c r="E25" s="45">
        <v>23.36</v>
      </c>
      <c r="F25" s="45">
        <f t="shared" si="0"/>
        <v>0</v>
      </c>
    </row>
    <row r="26" spans="1:6" ht="15.75" x14ac:dyDescent="0.25">
      <c r="A26" s="66" t="s">
        <v>113</v>
      </c>
      <c r="B26" s="67"/>
      <c r="C26" s="67"/>
      <c r="D26" s="67"/>
      <c r="E26" s="68"/>
      <c r="F26" s="52">
        <f>SUM(F2:F25)</f>
        <v>0</v>
      </c>
    </row>
  </sheetData>
  <protectedRanges>
    <protectedRange sqref="D2:D25" name="Intervalo2 DADOS_1"/>
  </protectedRanges>
  <mergeCells count="1">
    <mergeCell ref="A26:E26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TRATAMENTO</vt:lpstr>
      <vt:lpstr>COLORAÇÃO</vt:lpstr>
      <vt:lpstr>KIT COLOR</vt:lpstr>
      <vt:lpstr>TONALIZANTE</vt:lpstr>
      <vt:lpstr>TRATAMENTO!Area_de_impressao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cp:lastPrinted>2025-06-17T13:16:16Z</cp:lastPrinted>
  <dcterms:created xsi:type="dcterms:W3CDTF">2025-04-07T13:58:33Z</dcterms:created>
  <dcterms:modified xsi:type="dcterms:W3CDTF">2026-05-06T19:06:27Z</dcterms:modified>
</cp:coreProperties>
</file>