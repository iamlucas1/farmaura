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cas\OneDrive\Área de Trabalho\Tabelas SEM ST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1" l="1"/>
  <c r="G39" i="1"/>
  <c r="G65" i="1"/>
  <c r="G66" i="1"/>
  <c r="G67" i="1"/>
  <c r="G68" i="1"/>
  <c r="G69" i="1"/>
  <c r="G70" i="1"/>
  <c r="G71" i="1"/>
  <c r="G72" i="1"/>
  <c r="G63" i="1"/>
  <c r="G64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81" i="1" s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7" i="1"/>
  <c r="G83" i="1" l="1"/>
</calcChain>
</file>

<file path=xl/sharedStrings.xml><?xml version="1.0" encoding="utf-8"?>
<sst xmlns="http://schemas.openxmlformats.org/spreadsheetml/2006/main" count="106" uniqueCount="106">
  <si>
    <t>CLIENTE:                                    SISTEMA:</t>
  </si>
  <si>
    <t>CIDADE:</t>
  </si>
  <si>
    <t xml:space="preserve">LOJA: </t>
  </si>
  <si>
    <t xml:space="preserve">VENDEDOR: </t>
  </si>
  <si>
    <t>CNPJ:                                                                       CEP:</t>
  </si>
  <si>
    <t xml:space="preserve">DATA: </t>
  </si>
  <si>
    <t>Categoria</t>
  </si>
  <si>
    <t>Produto</t>
  </si>
  <si>
    <t>Ref</t>
  </si>
  <si>
    <t>Qtde</t>
  </si>
  <si>
    <t>Valor Unitário</t>
  </si>
  <si>
    <t>Valor
 Total</t>
  </si>
  <si>
    <t>Teen</t>
  </si>
  <si>
    <t>Tri Sweet 3 em 1 Batom/Blush/ Sombra</t>
  </si>
  <si>
    <t>Desodorante Infantil Femino 75ml</t>
  </si>
  <si>
    <t>Desodorante Infantil Masculino 75ml</t>
  </si>
  <si>
    <t xml:space="preserve">Limpeza </t>
  </si>
  <si>
    <t>Multlimp</t>
  </si>
  <si>
    <t>Brinquedos Limpinhos</t>
  </si>
  <si>
    <t>Limpa Azulejos e Banheirinha</t>
  </si>
  <si>
    <t>Limpa Chãozinho de Bebê</t>
  </si>
  <si>
    <t xml:space="preserve">Pano Ecológico </t>
  </si>
  <si>
    <t>Spoo - Espuma Multiuso</t>
  </si>
  <si>
    <t>Cosméticos</t>
  </si>
  <si>
    <t>Shampoo para Bebê Fofos</t>
  </si>
  <si>
    <t>Condicionador Hidrata Cabelinho</t>
  </si>
  <si>
    <r>
      <t xml:space="preserve">Leave in Brilhinho de Frutas </t>
    </r>
    <r>
      <rPr>
        <i/>
        <sz val="10.5"/>
        <color rgb="FFFF0000"/>
        <rFont val="Gadugi"/>
        <family val="2"/>
      </rPr>
      <t>NOVO!</t>
    </r>
  </si>
  <si>
    <r>
      <t xml:space="preserve">Anti Frizz </t>
    </r>
    <r>
      <rPr>
        <i/>
        <sz val="10.5"/>
        <color rgb="FFFF0000"/>
        <rFont val="Gadugi"/>
        <family val="2"/>
      </rPr>
      <t>NOVO!</t>
    </r>
  </si>
  <si>
    <t>Colônia Melhor Cheirinho</t>
  </si>
  <si>
    <t>Sabonete Lava Tudinho</t>
  </si>
  <si>
    <t>Hidrata Neném 300ml</t>
  </si>
  <si>
    <t>Hidrata Neném ROLL ON</t>
  </si>
  <si>
    <r>
      <t xml:space="preserve">Protetor Solar Fluido </t>
    </r>
    <r>
      <rPr>
        <sz val="10.5"/>
        <color indexed="8"/>
        <rFont val="Gadugi"/>
        <family val="2"/>
      </rPr>
      <t xml:space="preserve"> FPS 60</t>
    </r>
  </si>
  <si>
    <t xml:space="preserve">Protetor  BASTÃO Solzinho Fps 80 </t>
  </si>
  <si>
    <t>Protetor Solar ROLL ON</t>
  </si>
  <si>
    <t xml:space="preserve">Creme para Assaduras </t>
  </si>
  <si>
    <t>Lava Roupas</t>
  </si>
  <si>
    <t>Lava Roupinhas</t>
  </si>
  <si>
    <t>Xô Manchinhas</t>
  </si>
  <si>
    <t>Roupa Cheirosinha - BB</t>
  </si>
  <si>
    <t>Roupa Cheirosinha - AM</t>
  </si>
  <si>
    <t>Aguá de passar -Céu Sereno</t>
  </si>
  <si>
    <r>
      <t xml:space="preserve">Amaciante Roupinhas Macias </t>
    </r>
    <r>
      <rPr>
        <i/>
        <sz val="10.5"/>
        <color rgb="FFFF0000"/>
        <rFont val="Gadugi"/>
        <family val="2"/>
      </rPr>
      <t>NOVO!</t>
    </r>
  </si>
  <si>
    <t>Saco avulso Lavou Tá Novinho</t>
  </si>
  <si>
    <t>Higiene</t>
  </si>
  <si>
    <t>Limpa Mamadeiras</t>
  </si>
  <si>
    <t>Limpa Frutinhas e Vegetais</t>
  </si>
  <si>
    <t>Mãos Limpinhas</t>
  </si>
  <si>
    <t>Mãos Limpinhas 50ml</t>
  </si>
  <si>
    <r>
      <t xml:space="preserve">Gel DentalL </t>
    </r>
    <r>
      <rPr>
        <b/>
        <sz val="10.5"/>
        <color theme="1"/>
        <rFont val="Gadugi"/>
        <family val="2"/>
      </rPr>
      <t>COM</t>
    </r>
    <r>
      <rPr>
        <sz val="10.5"/>
        <color theme="1"/>
        <rFont val="Gadugi"/>
        <family val="2"/>
      </rPr>
      <t xml:space="preserve"> Fluor -</t>
    </r>
    <r>
      <rPr>
        <i/>
        <sz val="10.5"/>
        <color theme="1"/>
        <rFont val="Gadugi"/>
        <family val="2"/>
      </rPr>
      <t>Pack c 6 uni</t>
    </r>
  </si>
  <si>
    <r>
      <rPr>
        <sz val="10.5"/>
        <color theme="1"/>
        <rFont val="Gadugi"/>
        <family val="2"/>
      </rPr>
      <t xml:space="preserve">Gel Dental </t>
    </r>
    <r>
      <rPr>
        <b/>
        <sz val="10.5"/>
        <color theme="1"/>
        <rFont val="Gadugi"/>
        <family val="2"/>
      </rPr>
      <t>SEM</t>
    </r>
    <r>
      <rPr>
        <sz val="10.5"/>
        <color theme="1"/>
        <rFont val="Gadugi"/>
        <family val="2"/>
      </rPr>
      <t xml:space="preserve"> Fluor  </t>
    </r>
    <r>
      <rPr>
        <i/>
        <sz val="10.5"/>
        <color theme="1"/>
        <rFont val="Gadugi"/>
        <family val="2"/>
      </rPr>
      <t xml:space="preserve"> - Pack c 6 uni</t>
    </r>
  </si>
  <si>
    <t>Cuidados</t>
  </si>
  <si>
    <t>Tchau Mau Cheirinho</t>
  </si>
  <si>
    <t>Limpa Sapatinhos</t>
  </si>
  <si>
    <t>Repelente infantil</t>
  </si>
  <si>
    <t>Bubbly Esferas de Banho 120G</t>
  </si>
  <si>
    <r>
      <t xml:space="preserve">Balm Calminho </t>
    </r>
    <r>
      <rPr>
        <i/>
        <sz val="10.5"/>
        <color rgb="FFFF0000"/>
        <rFont val="Gadugi"/>
        <family val="2"/>
      </rPr>
      <t>NOVO!</t>
    </r>
  </si>
  <si>
    <r>
      <t xml:space="preserve">Chulé </t>
    </r>
    <r>
      <rPr>
        <i/>
        <sz val="10.5"/>
        <color rgb="FFFF0000"/>
        <rFont val="Gadugi"/>
        <family val="2"/>
      </rPr>
      <t>NOVO!</t>
    </r>
  </si>
  <si>
    <t>Kits</t>
  </si>
  <si>
    <t>Kit Miniaturas 60 ml com 4 produtos</t>
  </si>
  <si>
    <r>
      <t xml:space="preserve">Kit Viagem Saneante </t>
    </r>
    <r>
      <rPr>
        <i/>
        <sz val="10.5"/>
        <color rgb="FFFF0000"/>
        <rFont val="Gadugi"/>
        <family val="2"/>
      </rPr>
      <t>NOVO!</t>
    </r>
  </si>
  <si>
    <t>Pets</t>
  </si>
  <si>
    <t>Shampoo Pet -  05 litros</t>
  </si>
  <si>
    <t>Shampoo Pet - 500ml</t>
  </si>
  <si>
    <t>Condicionador Pet - 05 litros</t>
  </si>
  <si>
    <t>Condicionador Pet - 500ml</t>
  </si>
  <si>
    <t>Colônia Pet macho</t>
  </si>
  <si>
    <t>Colônia Pet fêmea</t>
  </si>
  <si>
    <t>Higienizador Bucal</t>
  </si>
  <si>
    <t>Zero Odor - Eliminador de Odores 300ml</t>
  </si>
  <si>
    <t>Desinfetante Bactericida - 05 litros</t>
  </si>
  <si>
    <t>Desinfetante Bactericida - 500ml</t>
  </si>
  <si>
    <t>Protege Patinhas</t>
  </si>
  <si>
    <t>Protege Focinho</t>
  </si>
  <si>
    <t>Home</t>
  </si>
  <si>
    <t>Difusor de Ambientes</t>
  </si>
  <si>
    <t>Perfume de Ambientes</t>
  </si>
  <si>
    <t>Pack Refil Lava Roupinhas</t>
  </si>
  <si>
    <t>Pack Refil  Limpa Mamadeiras</t>
  </si>
  <si>
    <t>Pack Refil  Limpa Brinquedos</t>
  </si>
  <si>
    <t>Pack Refil Xô Manchinhas</t>
  </si>
  <si>
    <t>Pack Refil Roupa Cheirosinha - BB</t>
  </si>
  <si>
    <t>Pack Refil Limpa Frutinhas</t>
  </si>
  <si>
    <t>Pack Refil Shampoo</t>
  </si>
  <si>
    <t>Pack Refil Hidrata Cabelinho</t>
  </si>
  <si>
    <t>Pack Refil Lava Tudinho</t>
  </si>
  <si>
    <t>Pack Refil Mãos Limpinhas</t>
  </si>
  <si>
    <t>Sport</t>
  </si>
  <si>
    <t>Stronger - Detergente  Elimina Cheiros</t>
  </si>
  <si>
    <t xml:space="preserve">Protetor solar STICK FPS 80 sport </t>
  </si>
  <si>
    <t>Protetor solar Fluido FPS 60 sport</t>
  </si>
  <si>
    <t>Biorepell - Repelente sport</t>
  </si>
  <si>
    <t>Mamães</t>
  </si>
  <si>
    <t>Bio Hidrata facial DIA 15 g</t>
  </si>
  <si>
    <t>Bio Hidrata facil NOITE 15 g</t>
  </si>
  <si>
    <t xml:space="preserve">Bio Renova Esfoliante facial 15 g </t>
  </si>
  <si>
    <t>Bio Solar Protetor Solar Stick 15 g</t>
  </si>
  <si>
    <t>CONDIÇÕES DE PAGAMENTO</t>
  </si>
  <si>
    <t>TOTAL DE PRODUTOS</t>
  </si>
  <si>
    <t>Peso total (kg)</t>
  </si>
  <si>
    <t>FRETE</t>
  </si>
  <si>
    <t>À vista 
Frete FOB
Endereço de entrega o mesmo do CNPJ</t>
  </si>
  <si>
    <t>ICMS ST</t>
  </si>
  <si>
    <t>VALOR  TOTAL</t>
  </si>
  <si>
    <t>TABELA DE PEDIDOS - Bioclub</t>
  </si>
  <si>
    <t>Pack com 6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</si>
</sst>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86C489"/>
      <name val="Gadugi"/>
      <family val="2"/>
    </font>
    <font>
      <sz val="18"/>
      <color rgb="FF65C44A"/>
      <name val="Segoe UI Variable Text Semibold"/>
    </font>
    <font>
      <sz val="11"/>
      <color theme="1"/>
      <name val="Segoe UI Variable Text Semibold"/>
    </font>
    <font>
      <sz val="10"/>
      <color theme="1"/>
      <name val="Segoe UI Variable Text Semibold"/>
    </font>
    <font>
      <sz val="11"/>
      <color theme="1"/>
      <name val="Dubai Medium"/>
      <family val="2"/>
      <charset val="178"/>
    </font>
    <font>
      <sz val="10.5"/>
      <color theme="1"/>
      <name val="Dubai Medium"/>
      <family val="2"/>
      <charset val="178"/>
    </font>
    <font>
      <sz val="10.5"/>
      <color theme="1"/>
      <name val="Segoe UI Variable Small Semibol"/>
    </font>
    <font>
      <sz val="10.5"/>
      <name val="Dubai Medium"/>
      <family val="2"/>
      <charset val="178"/>
    </font>
    <font>
      <b/>
      <sz val="10"/>
      <name val="GeoSlab703 Md BT"/>
      <family val="1"/>
    </font>
    <font>
      <b/>
      <sz val="10.5"/>
      <name val="Gadugi"/>
      <family val="2"/>
    </font>
    <font>
      <sz val="10.5"/>
      <name val="Gadugi"/>
      <family val="2"/>
    </font>
    <font>
      <sz val="10"/>
      <name val="Gadugi"/>
      <family val="2"/>
    </font>
    <font>
      <sz val="10.5"/>
      <color theme="1"/>
      <name val="Gadugi"/>
      <family val="2"/>
    </font>
    <font>
      <sz val="10"/>
      <color theme="1"/>
      <name val="Gadugi"/>
      <family val="2"/>
    </font>
    <font>
      <sz val="9"/>
      <color theme="1"/>
      <name val="GeoSlab703 Md BT"/>
      <family val="1"/>
    </font>
    <font>
      <sz val="10.5"/>
      <color rgb="FF000000"/>
      <name val="Gadugi"/>
      <family val="2"/>
    </font>
    <font>
      <i/>
      <sz val="10.5"/>
      <color theme="1"/>
      <name val="Gadugi"/>
      <family val="2"/>
    </font>
    <font>
      <i/>
      <sz val="10.5"/>
      <color rgb="FFFF0000"/>
      <name val="Gadugi"/>
      <family val="2"/>
    </font>
    <font>
      <sz val="10.5"/>
      <color indexed="8"/>
      <name val="Gadugi"/>
      <family val="2"/>
    </font>
    <font>
      <sz val="10"/>
      <name val="Segoe UI Variable Text Semibold"/>
    </font>
    <font>
      <b/>
      <sz val="10.5"/>
      <color theme="1"/>
      <name val="Gadugi"/>
      <family val="2"/>
    </font>
    <font>
      <i/>
      <sz val="10.5"/>
      <name val="Gadugi"/>
      <family val="2"/>
    </font>
    <font>
      <sz val="11"/>
      <color theme="1"/>
      <name val="GeoSlab703 Md BT"/>
      <family val="1"/>
    </font>
    <font>
      <sz val="10"/>
      <color theme="1"/>
      <name val="Dubai Medium"/>
      <family val="2"/>
      <charset val="178"/>
    </font>
    <font>
      <sz val="9"/>
      <name val="Berlin Sans FB"/>
      <family val="2"/>
    </font>
    <font>
      <sz val="9"/>
      <color theme="1"/>
      <name val="Dubai Medium"/>
      <family val="2"/>
      <charset val="178"/>
    </font>
    <font>
      <sz val="9"/>
      <color theme="1"/>
      <name val="Berlin Sans FB"/>
      <family val="2"/>
    </font>
    <font>
      <sz val="9"/>
      <color rgb="FFFF0000"/>
      <name val="Dubai Medium"/>
      <family val="2"/>
      <charset val="178"/>
    </font>
    <font>
      <b/>
      <sz val="11"/>
      <color theme="1"/>
      <name val="GeoSlab703 Md BT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6CB"/>
        <bgColor indexed="64"/>
      </patternFill>
    </fill>
    <fill>
      <patternFill patternType="solid">
        <fgColor rgb="FFC1E1C3"/>
        <bgColor indexed="64"/>
      </patternFill>
    </fill>
    <fill>
      <patternFill patternType="solid">
        <fgColor rgb="FFF1EDDB"/>
        <bgColor indexed="64"/>
      </patternFill>
    </fill>
    <fill>
      <patternFill patternType="solid">
        <fgColor rgb="FFF1EDDB"/>
        <bgColor rgb="FF000000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2">
    <xf numFmtId="0" fontId="0" fillId="0" borderId="0" xfId="0"/>
    <xf numFmtId="0" fontId="3" fillId="2" borderId="3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5" xfId="0" applyFont="1" applyBorder="1" applyAlignment="1">
      <alignment wrapText="1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8" fillId="0" borderId="5" xfId="0" applyFont="1" applyBorder="1" applyAlignment="1">
      <alignment horizontal="left" wrapText="1"/>
    </xf>
    <xf numFmtId="0" fontId="8" fillId="0" borderId="5" xfId="0" applyFont="1" applyBorder="1" applyAlignment="1">
      <alignment horizontal="left" vertical="center" wrapText="1"/>
    </xf>
    <xf numFmtId="0" fontId="9" fillId="3" borderId="1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/>
    </xf>
    <xf numFmtId="0" fontId="13" fillId="0" borderId="11" xfId="0" applyFont="1" applyBorder="1" applyAlignment="1">
      <alignment horizontal="center" vertical="center"/>
    </xf>
    <xf numFmtId="1" fontId="7" fillId="2" borderId="11" xfId="0" applyNumberFormat="1" applyFont="1" applyFill="1" applyBorder="1" applyAlignment="1">
      <alignment horizontal="center" vertical="center"/>
    </xf>
    <xf numFmtId="164" fontId="14" fillId="2" borderId="11" xfId="0" applyNumberFormat="1" applyFont="1" applyFill="1" applyBorder="1" applyAlignment="1">
      <alignment horizontal="center" vertical="center"/>
    </xf>
    <xf numFmtId="1" fontId="15" fillId="0" borderId="11" xfId="0" applyNumberFormat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left" vertical="center"/>
    </xf>
    <xf numFmtId="1" fontId="15" fillId="4" borderId="11" xfId="0" applyNumberFormat="1" applyFont="1" applyFill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1" fontId="16" fillId="2" borderId="5" xfId="0" applyNumberFormat="1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4" fillId="5" borderId="11" xfId="0" applyFont="1" applyFill="1" applyBorder="1" applyAlignment="1">
      <alignment horizontal="left" vertical="center"/>
    </xf>
    <xf numFmtId="1" fontId="15" fillId="5" borderId="11" xfId="0" applyNumberFormat="1" applyFont="1" applyFill="1" applyBorder="1" applyAlignment="1">
      <alignment horizontal="center" vertical="center"/>
    </xf>
    <xf numFmtId="1" fontId="14" fillId="0" borderId="1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8" fillId="5" borderId="11" xfId="0" applyFont="1" applyFill="1" applyBorder="1" applyAlignment="1">
      <alignment horizontal="left" vertical="center" wrapText="1"/>
    </xf>
    <xf numFmtId="1" fontId="15" fillId="5" borderId="11" xfId="0" applyNumberFormat="1" applyFont="1" applyFill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left" vertical="center"/>
    </xf>
    <xf numFmtId="0" fontId="15" fillId="5" borderId="11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left" vertical="center"/>
    </xf>
    <xf numFmtId="0" fontId="14" fillId="0" borderId="11" xfId="0" applyFont="1" applyBorder="1" applyAlignment="1">
      <alignment horizontal="center" wrapText="1"/>
    </xf>
    <xf numFmtId="0" fontId="14" fillId="5" borderId="11" xfId="0" applyFont="1" applyFill="1" applyBorder="1" applyAlignment="1">
      <alignment vertical="center"/>
    </xf>
    <xf numFmtId="0" fontId="21" fillId="0" borderId="0" xfId="0" applyFont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1" fontId="13" fillId="0" borderId="1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1" fontId="13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left" vertical="center"/>
    </xf>
    <xf numFmtId="0" fontId="14" fillId="3" borderId="7" xfId="0" applyFont="1" applyFill="1" applyBorder="1" applyAlignment="1">
      <alignment horizontal="left" vertical="center"/>
    </xf>
    <xf numFmtId="1" fontId="15" fillId="3" borderId="11" xfId="0" applyNumberFormat="1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1" fontId="16" fillId="0" borderId="15" xfId="0" applyNumberFormat="1" applyFont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wrapText="1"/>
    </xf>
    <xf numFmtId="0" fontId="23" fillId="4" borderId="11" xfId="0" applyFont="1" applyFill="1" applyBorder="1" applyAlignment="1">
      <alignment horizontal="left" vertical="center"/>
    </xf>
    <xf numFmtId="0" fontId="15" fillId="4" borderId="1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18" fillId="4" borderId="11" xfId="0" applyFont="1" applyFill="1" applyBorder="1" applyAlignment="1">
      <alignment horizontal="left" vertical="center"/>
    </xf>
    <xf numFmtId="0" fontId="23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  <xf numFmtId="0" fontId="14" fillId="5" borderId="7" xfId="0" applyFont="1" applyFill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/>
    </xf>
    <xf numFmtId="1" fontId="16" fillId="0" borderId="16" xfId="0" applyNumberFormat="1" applyFont="1" applyBorder="1" applyAlignment="1">
      <alignment horizontal="center" vertical="center" wrapText="1"/>
    </xf>
    <xf numFmtId="0" fontId="24" fillId="0" borderId="5" xfId="0" applyFont="1" applyBorder="1" applyAlignment="1">
      <alignment vertical="center"/>
    </xf>
    <xf numFmtId="0" fontId="14" fillId="3" borderId="7" xfId="0" applyFont="1" applyFill="1" applyBorder="1" applyAlignment="1">
      <alignment vertical="center"/>
    </xf>
    <xf numFmtId="1" fontId="13" fillId="3" borderId="1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65" fontId="6" fillId="0" borderId="10" xfId="0" applyNumberFormat="1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27" fillId="0" borderId="11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/>
    </xf>
    <xf numFmtId="0" fontId="29" fillId="2" borderId="25" xfId="0" applyFont="1" applyFill="1" applyBorder="1" applyAlignment="1">
      <alignment vertical="center"/>
    </xf>
    <xf numFmtId="0" fontId="29" fillId="2" borderId="24" xfId="0" applyFont="1" applyFill="1" applyBorder="1" applyAlignment="1">
      <alignment vertical="center"/>
    </xf>
    <xf numFmtId="0" fontId="28" fillId="0" borderId="5" xfId="0" applyFont="1" applyBorder="1" applyAlignment="1">
      <alignment horizontal="center" vertical="center" wrapText="1"/>
    </xf>
    <xf numFmtId="0" fontId="29" fillId="2" borderId="26" xfId="0" applyFont="1" applyFill="1" applyBorder="1" applyAlignment="1">
      <alignment vertical="center"/>
    </xf>
    <xf numFmtId="0" fontId="29" fillId="2" borderId="21" xfId="0" applyFont="1" applyFill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7" fillId="2" borderId="28" xfId="0" applyFont="1" applyFill="1" applyBorder="1" applyAlignment="1">
      <alignment vertical="center"/>
    </xf>
    <xf numFmtId="165" fontId="27" fillId="0" borderId="31" xfId="0" applyNumberFormat="1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/>
    <xf numFmtId="0" fontId="4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44" fontId="17" fillId="0" borderId="11" xfId="1" applyFont="1" applyFill="1" applyBorder="1" applyAlignment="1">
      <alignment horizontal="center" vertical="center"/>
    </xf>
    <xf numFmtId="44" fontId="4" fillId="0" borderId="0" xfId="0" applyNumberFormat="1" applyFont="1" applyAlignment="1">
      <alignment horizontal="center" wrapText="1"/>
    </xf>
    <xf numFmtId="0" fontId="27" fillId="3" borderId="29" xfId="0" applyFont="1" applyFill="1" applyBorder="1" applyAlignment="1">
      <alignment horizontal="center" vertical="center"/>
    </xf>
    <xf numFmtId="0" fontId="27" fillId="3" borderId="30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25" fillId="3" borderId="18" xfId="0" applyFont="1" applyFill="1" applyBorder="1" applyAlignment="1">
      <alignment horizontal="center" vertical="center"/>
    </xf>
    <xf numFmtId="0" fontId="25" fillId="3" borderId="8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86662</xdr:colOff>
      <xdr:row>0</xdr:row>
      <xdr:rowOff>47625</xdr:rowOff>
    </xdr:from>
    <xdr:to>
      <xdr:col>0</xdr:col>
      <xdr:colOff>647700</xdr:colOff>
      <xdr:row>1</xdr:row>
      <xdr:rowOff>93971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A6E801-AF90-4AB3-9003-6550147EC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62" y="47625"/>
          <a:ext cx="561038" cy="370196"/>
        </a:xfrm>
        <a:prstGeom prst="rect">
          <a:avLst/>
        </a:prstGeom>
      </xdr:spPr>
    </xdr:pic>
    <xdr:clientData/>
  </xdr:twoCellAnchor>
  <xdr:twoCellAnchor editAs="oneCell">
    <xdr:from>
      <xdr:col>0</xdr:col>
      <xdr:colOff>707543</xdr:colOff>
      <xdr:row>27</xdr:row>
      <xdr:rowOff>135258</xdr:rowOff>
    </xdr:from>
    <xdr:to>
      <xdr:col>0</xdr:col>
      <xdr:colOff>1056559</xdr:colOff>
      <xdr:row>28</xdr:row>
      <xdr:rowOff>161858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FD15928-A83B-49CA-845D-DE0C4D50F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838635">
          <a:off x="707543" y="4945383"/>
          <a:ext cx="349016" cy="226625"/>
        </a:xfrm>
        <a:prstGeom prst="rect">
          <a:avLst/>
        </a:prstGeom>
      </xdr:spPr>
    </xdr:pic>
    <xdr:clientData/>
  </xdr:twoCellAnchor>
  <xdr:twoCellAnchor editAs="oneCell">
    <xdr:from>
      <xdr:col>0</xdr:col>
      <xdr:colOff>272805</xdr:colOff>
      <xdr:row>67</xdr:row>
      <xdr:rowOff>9525</xdr:rowOff>
    </xdr:from>
    <xdr:to>
      <xdr:col>0</xdr:col>
      <xdr:colOff>1048580</xdr:colOff>
      <xdr:row>71</xdr:row>
      <xdr:rowOff>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75904B4-543D-4232-BE13-E38AC5689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805" y="11439525"/>
          <a:ext cx="775775" cy="638176"/>
        </a:xfrm>
        <a:prstGeom prst="rect">
          <a:avLst/>
        </a:prstGeom>
      </xdr:spPr>
    </xdr:pic>
    <xdr:clientData/>
  </xdr:twoCellAnchor>
  <xdr:twoCellAnchor editAs="oneCell">
    <xdr:from>
      <xdr:col>0</xdr:col>
      <xdr:colOff>380756</xdr:colOff>
      <xdr:row>54</xdr:row>
      <xdr:rowOff>97205</xdr:rowOff>
    </xdr:from>
    <xdr:to>
      <xdr:col>0</xdr:col>
      <xdr:colOff>891675</xdr:colOff>
      <xdr:row>57</xdr:row>
      <xdr:rowOff>38101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F7CAEC4-2D84-477E-9BEA-35B713CA1D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06" t="15279" r="21528" b="24305"/>
        <a:stretch/>
      </xdr:blipFill>
      <xdr:spPr>
        <a:xfrm>
          <a:off x="380756" y="9441230"/>
          <a:ext cx="510919" cy="512396"/>
        </a:xfrm>
        <a:prstGeom prst="rect">
          <a:avLst/>
        </a:prstGeom>
      </xdr:spPr>
    </xdr:pic>
    <xdr:clientData/>
  </xdr:twoCellAnchor>
  <xdr:twoCellAnchor editAs="oneCell">
    <xdr:from>
      <xdr:col>0</xdr:col>
      <xdr:colOff>492955</xdr:colOff>
      <xdr:row>22</xdr:row>
      <xdr:rowOff>70338</xdr:rowOff>
    </xdr:from>
    <xdr:to>
      <xdr:col>0</xdr:col>
      <xdr:colOff>861654</xdr:colOff>
      <xdr:row>24</xdr:row>
      <xdr:rowOff>104775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1C8956C-3EA6-4D5E-AB29-D06D5674DA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25" t="18666" r="24513" b="17538"/>
        <a:stretch/>
      </xdr:blipFill>
      <xdr:spPr>
        <a:xfrm>
          <a:off x="492955" y="4070838"/>
          <a:ext cx="368699" cy="415437"/>
        </a:xfrm>
        <a:prstGeom prst="rect">
          <a:avLst/>
        </a:prstGeom>
      </xdr:spPr>
    </xdr:pic>
    <xdr:clientData/>
  </xdr:twoCellAnchor>
  <xdr:twoCellAnchor editAs="oneCell">
    <xdr:from>
      <xdr:col>0</xdr:col>
      <xdr:colOff>537309</xdr:colOff>
      <xdr:row>12</xdr:row>
      <xdr:rowOff>48846</xdr:rowOff>
    </xdr:from>
    <xdr:to>
      <xdr:col>0</xdr:col>
      <xdr:colOff>840154</xdr:colOff>
      <xdr:row>14</xdr:row>
      <xdr:rowOff>46442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6F00511-8F92-448D-8ACC-2A5AC12E98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10" t="15589" r="24308" b="14462"/>
        <a:stretch/>
      </xdr:blipFill>
      <xdr:spPr>
        <a:xfrm>
          <a:off x="537309" y="2430096"/>
          <a:ext cx="302845" cy="378596"/>
        </a:xfrm>
        <a:prstGeom prst="rect">
          <a:avLst/>
        </a:prstGeom>
      </xdr:spPr>
    </xdr:pic>
    <xdr:clientData/>
  </xdr:twoCellAnchor>
  <xdr:twoCellAnchor editAs="oneCell">
    <xdr:from>
      <xdr:col>0</xdr:col>
      <xdr:colOff>274320</xdr:colOff>
      <xdr:row>6</xdr:row>
      <xdr:rowOff>53340</xdr:rowOff>
    </xdr:from>
    <xdr:to>
      <xdr:col>0</xdr:col>
      <xdr:colOff>472440</xdr:colOff>
      <xdr:row>7</xdr:row>
      <xdr:rowOff>77822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5B4D0A14-E274-497A-AAF3-1C93BA54B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1463040"/>
          <a:ext cx="198120" cy="214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tabSelected="1" workbookViewId="0">
      <selection activeCell="I38" sqref="I38"/>
    </sheetView>
  </sheetViews>
  <sheetFormatPr defaultColWidth="8.85546875" defaultRowHeight="14.25"/>
  <cols>
    <col min="1" max="1" width="20.42578125" style="82" customWidth="1"/>
    <col min="2" max="2" width="36.5703125" style="82" customWidth="1"/>
    <col min="3" max="4" width="8.28515625" style="82" customWidth="1"/>
    <col min="5" max="5" width="13.85546875" style="82" customWidth="1"/>
    <col min="6" max="6" width="13.5703125" style="82" customWidth="1"/>
    <col min="7" max="7" width="5.7109375" style="82" customWidth="1"/>
    <col min="8" max="8" width="12.28515625" style="82" customWidth="1"/>
    <col min="9" max="16384" width="8.85546875" style="82"/>
  </cols>
  <sheetData>
    <row r="1" spans="1:9" s="2" customFormat="1" ht="25.5" customHeight="1">
      <c r="A1" s="113" t="s">
        <v>104</v>
      </c>
      <c r="B1" s="114"/>
      <c r="C1" s="114"/>
      <c r="D1" s="114"/>
      <c r="E1" s="114"/>
      <c r="F1" s="114"/>
      <c r="G1" s="1"/>
    </row>
    <row r="2" spans="1:9" s="4" customFormat="1" ht="12.95" customHeight="1">
      <c r="A2" s="3"/>
      <c r="F2" s="5"/>
      <c r="G2" s="6"/>
    </row>
    <row r="3" spans="1:9" s="4" customFormat="1" ht="15.75" customHeight="1">
      <c r="A3" s="115" t="s">
        <v>0</v>
      </c>
      <c r="B3" s="116"/>
      <c r="C3" s="121" t="s">
        <v>1</v>
      </c>
      <c r="D3" s="121"/>
      <c r="E3" s="121"/>
      <c r="F3" s="121"/>
      <c r="G3" s="6"/>
    </row>
    <row r="4" spans="1:9" s="4" customFormat="1" ht="15.75" customHeight="1">
      <c r="A4" s="117" t="s">
        <v>2</v>
      </c>
      <c r="B4" s="118"/>
      <c r="C4" s="84"/>
      <c r="D4" s="118" t="s">
        <v>3</v>
      </c>
      <c r="E4" s="118"/>
      <c r="F4" s="118"/>
      <c r="G4" s="9"/>
    </row>
    <row r="5" spans="1:9" s="4" customFormat="1" ht="12.95" customHeight="1">
      <c r="A5" s="119" t="s">
        <v>4</v>
      </c>
      <c r="B5" s="120"/>
      <c r="C5" s="8"/>
      <c r="D5" s="120" t="s">
        <v>5</v>
      </c>
      <c r="E5" s="120"/>
      <c r="F5" s="120"/>
      <c r="G5" s="10"/>
    </row>
    <row r="6" spans="1:9" s="4" customFormat="1" ht="28.5" customHeight="1">
      <c r="A6" s="11" t="s">
        <v>6</v>
      </c>
      <c r="B6" s="12" t="s">
        <v>7</v>
      </c>
      <c r="C6" s="12" t="s">
        <v>8</v>
      </c>
      <c r="D6" s="12" t="s">
        <v>9</v>
      </c>
      <c r="E6" s="12" t="s">
        <v>10</v>
      </c>
      <c r="F6" s="12" t="s">
        <v>11</v>
      </c>
      <c r="G6" s="13"/>
    </row>
    <row r="7" spans="1:9" s="4" customFormat="1" ht="12.95" customHeight="1">
      <c r="A7" s="89" t="s">
        <v>12</v>
      </c>
      <c r="B7" s="14" t="s">
        <v>13</v>
      </c>
      <c r="C7" s="15">
        <v>623</v>
      </c>
      <c r="D7" s="16"/>
      <c r="E7" s="85">
        <v>43.335182999339175</v>
      </c>
      <c r="F7" s="17">
        <f>E7*D7</f>
        <v>0</v>
      </c>
      <c r="G7" s="13"/>
    </row>
    <row r="8" spans="1:9" s="4" customFormat="1" ht="12.95" customHeight="1">
      <c r="A8" s="89"/>
      <c r="B8" s="14" t="s">
        <v>14</v>
      </c>
      <c r="C8" s="18">
        <v>656</v>
      </c>
      <c r="D8" s="16"/>
      <c r="E8" s="85">
        <v>17.265456236819915</v>
      </c>
      <c r="F8" s="17">
        <f t="shared" ref="F8:F70" si="0">E8*D8</f>
        <v>0</v>
      </c>
      <c r="G8" s="13"/>
    </row>
    <row r="9" spans="1:9" s="4" customFormat="1" ht="12.95" customHeight="1">
      <c r="A9" s="89"/>
      <c r="B9" s="14" t="s">
        <v>15</v>
      </c>
      <c r="C9" s="18">
        <v>657</v>
      </c>
      <c r="D9" s="16"/>
      <c r="E9" s="85">
        <v>17.215006763788299</v>
      </c>
      <c r="F9" s="17">
        <f t="shared" si="0"/>
        <v>0</v>
      </c>
      <c r="G9" s="13"/>
    </row>
    <row r="10" spans="1:9" s="4" customFormat="1" ht="12.95" customHeight="1">
      <c r="A10" s="94" t="s">
        <v>16</v>
      </c>
      <c r="B10" s="19" t="s">
        <v>17</v>
      </c>
      <c r="C10" s="20">
        <v>12</v>
      </c>
      <c r="D10" s="21"/>
      <c r="E10" s="85">
        <v>27.947288346695409</v>
      </c>
      <c r="F10" s="17">
        <f t="shared" si="0"/>
        <v>0</v>
      </c>
      <c r="G10" s="22"/>
    </row>
    <row r="11" spans="1:9" s="4" customFormat="1" ht="12.95" customHeight="1">
      <c r="A11" s="100"/>
      <c r="B11" s="19" t="s">
        <v>18</v>
      </c>
      <c r="C11" s="20">
        <v>8</v>
      </c>
      <c r="D11" s="21"/>
      <c r="E11" s="85">
        <v>28.270797336156043</v>
      </c>
      <c r="F11" s="17">
        <f t="shared" si="0"/>
        <v>0</v>
      </c>
      <c r="G11" s="22"/>
    </row>
    <row r="12" spans="1:9" s="4" customFormat="1" ht="12.95" customHeight="1">
      <c r="A12" s="100"/>
      <c r="B12" s="19" t="s">
        <v>19</v>
      </c>
      <c r="C12" s="20">
        <v>13</v>
      </c>
      <c r="D12" s="21"/>
      <c r="E12" s="85">
        <v>28.698483841632385</v>
      </c>
      <c r="F12" s="17">
        <f t="shared" si="0"/>
        <v>0</v>
      </c>
      <c r="G12" s="22"/>
    </row>
    <row r="13" spans="1:9" s="4" customFormat="1" ht="12.95" customHeight="1">
      <c r="A13" s="100"/>
      <c r="B13" s="19" t="s">
        <v>20</v>
      </c>
      <c r="C13" s="20">
        <v>14</v>
      </c>
      <c r="D13" s="21"/>
      <c r="E13" s="85">
        <v>27.051966844318891</v>
      </c>
      <c r="F13" s="17">
        <f t="shared" si="0"/>
        <v>0</v>
      </c>
      <c r="G13" s="22"/>
    </row>
    <row r="14" spans="1:9" s="4" customFormat="1" ht="12.95" customHeight="1">
      <c r="A14" s="100"/>
      <c r="B14" s="23" t="s">
        <v>21</v>
      </c>
      <c r="C14" s="20">
        <v>47</v>
      </c>
      <c r="D14" s="21"/>
      <c r="E14" s="85">
        <v>3.5960177605916153</v>
      </c>
      <c r="F14" s="17">
        <f t="shared" si="0"/>
        <v>0</v>
      </c>
      <c r="G14" s="22"/>
    </row>
    <row r="15" spans="1:9" s="4" customFormat="1" ht="12.95" customHeight="1">
      <c r="A15" s="95"/>
      <c r="B15" s="23" t="s">
        <v>22</v>
      </c>
      <c r="C15" s="20">
        <v>36</v>
      </c>
      <c r="D15" s="24"/>
      <c r="E15" s="85">
        <v>23.268670914116367</v>
      </c>
      <c r="F15" s="17">
        <f t="shared" si="0"/>
        <v>0</v>
      </c>
      <c r="G15" s="22"/>
    </row>
    <row r="16" spans="1:9" s="4" customFormat="1" ht="12.95" customHeight="1">
      <c r="A16" s="91" t="s">
        <v>23</v>
      </c>
      <c r="B16" s="25" t="s">
        <v>24</v>
      </c>
      <c r="C16" s="26">
        <v>19</v>
      </c>
      <c r="D16" s="27"/>
      <c r="E16" s="85">
        <v>21.758712747914668</v>
      </c>
      <c r="F16" s="17">
        <f t="shared" si="0"/>
        <v>0</v>
      </c>
      <c r="G16" s="22"/>
      <c r="I16" s="28"/>
    </row>
    <row r="17" spans="1:9" s="4" customFormat="1" ht="12.95" customHeight="1">
      <c r="A17" s="92"/>
      <c r="B17" s="25" t="s">
        <v>25</v>
      </c>
      <c r="C17" s="26">
        <v>20</v>
      </c>
      <c r="D17" s="27"/>
      <c r="E17" s="85">
        <v>20.472468265583611</v>
      </c>
      <c r="F17" s="17">
        <f t="shared" si="0"/>
        <v>0</v>
      </c>
      <c r="G17" s="22"/>
      <c r="I17" s="28"/>
    </row>
    <row r="18" spans="1:9" s="4" customFormat="1" ht="12.95" customHeight="1">
      <c r="A18" s="92"/>
      <c r="B18" s="29" t="s">
        <v>26</v>
      </c>
      <c r="C18" s="26">
        <v>730</v>
      </c>
      <c r="D18" s="27"/>
      <c r="E18" s="85">
        <v>27.32167474050652</v>
      </c>
      <c r="F18" s="17">
        <f t="shared" si="0"/>
        <v>0</v>
      </c>
      <c r="G18" s="22"/>
      <c r="I18"/>
    </row>
    <row r="19" spans="1:9" s="4" customFormat="1" ht="12.95" customHeight="1">
      <c r="A19" s="92"/>
      <c r="B19" s="29" t="s">
        <v>27</v>
      </c>
      <c r="C19" s="26">
        <v>736</v>
      </c>
      <c r="D19" s="27"/>
      <c r="E19" s="85">
        <v>28.673435399035373</v>
      </c>
      <c r="F19" s="17">
        <f t="shared" si="0"/>
        <v>0</v>
      </c>
      <c r="G19" s="22"/>
      <c r="I19"/>
    </row>
    <row r="20" spans="1:9" s="4" customFormat="1" ht="12.95" customHeight="1">
      <c r="A20" s="92"/>
      <c r="B20" s="25" t="s">
        <v>28</v>
      </c>
      <c r="C20" s="30">
        <v>22</v>
      </c>
      <c r="D20" s="27"/>
      <c r="E20" s="85">
        <v>21.958868516926863</v>
      </c>
      <c r="F20" s="17">
        <f t="shared" si="0"/>
        <v>0</v>
      </c>
      <c r="G20" s="22"/>
      <c r="I20" s="28"/>
    </row>
    <row r="21" spans="1:9" s="4" customFormat="1" ht="12.95" customHeight="1">
      <c r="A21" s="92"/>
      <c r="B21" s="25" t="s">
        <v>29</v>
      </c>
      <c r="C21" s="30">
        <v>23</v>
      </c>
      <c r="D21" s="27"/>
      <c r="E21" s="85">
        <v>20.234031098813613</v>
      </c>
      <c r="F21" s="17">
        <f t="shared" si="0"/>
        <v>0</v>
      </c>
      <c r="G21" s="22"/>
      <c r="I21" s="28"/>
    </row>
    <row r="22" spans="1:9" s="4" customFormat="1" ht="12.95" customHeight="1">
      <c r="A22" s="92"/>
      <c r="B22" s="31" t="s">
        <v>30</v>
      </c>
      <c r="C22" s="32">
        <v>705</v>
      </c>
      <c r="D22" s="27"/>
      <c r="E22" s="85">
        <v>23.61</v>
      </c>
      <c r="F22" s="17">
        <f t="shared" si="0"/>
        <v>0</v>
      </c>
      <c r="G22" s="22"/>
      <c r="I22" s="28"/>
    </row>
    <row r="23" spans="1:9" s="4" customFormat="1" ht="12.95" customHeight="1">
      <c r="A23" s="92"/>
      <c r="B23" s="25" t="s">
        <v>31</v>
      </c>
      <c r="C23" s="30">
        <v>539</v>
      </c>
      <c r="D23" s="27"/>
      <c r="E23" s="85">
        <v>18.170662027789131</v>
      </c>
      <c r="F23" s="17">
        <f t="shared" si="0"/>
        <v>0</v>
      </c>
      <c r="G23" s="22"/>
      <c r="I23" s="28"/>
    </row>
    <row r="24" spans="1:9" s="4" customFormat="1" ht="12.95" customHeight="1">
      <c r="A24" s="92"/>
      <c r="B24" s="33" t="s">
        <v>32</v>
      </c>
      <c r="C24" s="32">
        <v>74</v>
      </c>
      <c r="D24" s="34"/>
      <c r="E24" s="85">
        <v>54.909395512421817</v>
      </c>
      <c r="F24" s="17">
        <f t="shared" si="0"/>
        <v>0</v>
      </c>
      <c r="G24" s="22"/>
      <c r="I24" s="28"/>
    </row>
    <row r="25" spans="1:9" s="4" customFormat="1" ht="12.95" customHeight="1">
      <c r="A25" s="92"/>
      <c r="B25" s="35" t="s">
        <v>33</v>
      </c>
      <c r="C25" s="30">
        <v>453</v>
      </c>
      <c r="D25" s="34"/>
      <c r="E25" s="85">
        <v>45.492307643360526</v>
      </c>
      <c r="F25" s="17">
        <f t="shared" si="0"/>
        <v>0</v>
      </c>
      <c r="G25" s="22"/>
      <c r="I25" s="28"/>
    </row>
    <row r="26" spans="1:9" s="4" customFormat="1" ht="12.95" customHeight="1">
      <c r="A26" s="92"/>
      <c r="B26" s="35" t="s">
        <v>34</v>
      </c>
      <c r="C26" s="30">
        <v>540</v>
      </c>
      <c r="D26" s="27"/>
      <c r="E26" s="85">
        <v>35.700076247565946</v>
      </c>
      <c r="F26" s="17">
        <f t="shared" si="0"/>
        <v>0</v>
      </c>
      <c r="G26" s="22"/>
    </row>
    <row r="27" spans="1:9" s="4" customFormat="1" ht="12.95" customHeight="1">
      <c r="A27" s="92"/>
      <c r="B27" s="33" t="s">
        <v>35</v>
      </c>
      <c r="C27" s="30">
        <v>560</v>
      </c>
      <c r="D27" s="27"/>
      <c r="E27" s="85">
        <v>23.760616152027094</v>
      </c>
      <c r="F27" s="17">
        <f t="shared" si="0"/>
        <v>0</v>
      </c>
      <c r="G27" s="22"/>
      <c r="I27" s="36"/>
    </row>
    <row r="28" spans="1:9" s="4" customFormat="1" ht="12.95" customHeight="1">
      <c r="A28" s="96" t="s">
        <v>36</v>
      </c>
      <c r="B28" s="37" t="s">
        <v>37</v>
      </c>
      <c r="C28" s="38">
        <v>1</v>
      </c>
      <c r="D28" s="27"/>
      <c r="E28" s="85">
        <v>28.478849206377166</v>
      </c>
      <c r="F28" s="17">
        <f t="shared" si="0"/>
        <v>0</v>
      </c>
      <c r="G28" s="22"/>
      <c r="I28" s="39"/>
    </row>
    <row r="29" spans="1:9" s="4" customFormat="1" ht="12.95" customHeight="1">
      <c r="A29" s="89"/>
      <c r="B29" s="37" t="s">
        <v>38</v>
      </c>
      <c r="C29" s="38">
        <v>2</v>
      </c>
      <c r="D29" s="27"/>
      <c r="E29" s="85">
        <v>27.890632245228165</v>
      </c>
      <c r="F29" s="17">
        <f t="shared" si="0"/>
        <v>0</v>
      </c>
      <c r="G29" s="22"/>
      <c r="I29" s="39"/>
    </row>
    <row r="30" spans="1:9" s="4" customFormat="1" ht="12.95" customHeight="1">
      <c r="A30" s="89"/>
      <c r="B30" s="37" t="s">
        <v>39</v>
      </c>
      <c r="C30" s="38">
        <v>3</v>
      </c>
      <c r="D30" s="27"/>
      <c r="E30" s="85">
        <v>30.574934167112854</v>
      </c>
      <c r="F30" s="17">
        <f t="shared" si="0"/>
        <v>0</v>
      </c>
      <c r="G30" s="22"/>
      <c r="I30" s="36"/>
    </row>
    <row r="31" spans="1:9" s="4" customFormat="1" ht="12.95" customHeight="1">
      <c r="A31" s="89"/>
      <c r="B31" s="37" t="s">
        <v>40</v>
      </c>
      <c r="C31" s="38">
        <v>4</v>
      </c>
      <c r="D31" s="27"/>
      <c r="E31" s="85">
        <v>29.557872790795432</v>
      </c>
      <c r="F31" s="17">
        <f t="shared" si="0"/>
        <v>0</v>
      </c>
      <c r="G31" s="22"/>
    </row>
    <row r="32" spans="1:9" s="4" customFormat="1" ht="12.95" customHeight="1">
      <c r="A32" s="89"/>
      <c r="B32" s="37" t="s">
        <v>41</v>
      </c>
      <c r="C32" s="40">
        <v>674</v>
      </c>
      <c r="D32" s="27"/>
      <c r="E32" s="85">
        <v>30.102502879656768</v>
      </c>
      <c r="F32" s="17">
        <f t="shared" si="0"/>
        <v>0</v>
      </c>
      <c r="G32" s="22"/>
    </row>
    <row r="33" spans="1:8" s="4" customFormat="1" ht="12.95" customHeight="1">
      <c r="A33" s="89"/>
      <c r="B33" s="41" t="s">
        <v>42</v>
      </c>
      <c r="C33" s="40">
        <v>734</v>
      </c>
      <c r="D33" s="21"/>
      <c r="E33" s="85">
        <v>37.76</v>
      </c>
      <c r="F33" s="17">
        <f t="shared" si="0"/>
        <v>0</v>
      </c>
      <c r="G33" s="22"/>
    </row>
    <row r="34" spans="1:8" s="4" customFormat="1" ht="12.95" customHeight="1">
      <c r="A34" s="90"/>
      <c r="B34" s="37" t="s">
        <v>43</v>
      </c>
      <c r="C34" s="40">
        <v>5</v>
      </c>
      <c r="D34" s="21"/>
      <c r="E34" s="85">
        <v>14.757683277233124</v>
      </c>
      <c r="F34" s="17">
        <f t="shared" si="0"/>
        <v>0</v>
      </c>
      <c r="G34" s="22"/>
    </row>
    <row r="35" spans="1:8" s="4" customFormat="1" ht="12.95" customHeight="1">
      <c r="A35" s="97" t="s">
        <v>44</v>
      </c>
      <c r="B35" s="42" t="s">
        <v>45</v>
      </c>
      <c r="C35" s="43">
        <v>6</v>
      </c>
      <c r="D35" s="21"/>
      <c r="E35" s="85">
        <v>27.78342267196923</v>
      </c>
      <c r="F35" s="17">
        <f t="shared" si="0"/>
        <v>0</v>
      </c>
      <c r="G35" s="22"/>
    </row>
    <row r="36" spans="1:8" s="4" customFormat="1" ht="12.95" customHeight="1">
      <c r="A36" s="98"/>
      <c r="B36" s="42" t="s">
        <v>46</v>
      </c>
      <c r="C36" s="43">
        <v>9</v>
      </c>
      <c r="D36" s="21"/>
      <c r="E36" s="85">
        <v>20.667033808051062</v>
      </c>
      <c r="F36" s="17">
        <f t="shared" si="0"/>
        <v>0</v>
      </c>
      <c r="G36" s="22"/>
    </row>
    <row r="37" spans="1:8" s="4" customFormat="1" ht="12.95" customHeight="1">
      <c r="A37" s="98"/>
      <c r="B37" s="42" t="s">
        <v>47</v>
      </c>
      <c r="C37" s="43">
        <v>10</v>
      </c>
      <c r="D37" s="21"/>
      <c r="E37" s="85">
        <v>21.064318203845648</v>
      </c>
      <c r="F37" s="17">
        <f t="shared" si="0"/>
        <v>0</v>
      </c>
      <c r="G37" s="22"/>
    </row>
    <row r="38" spans="1:8" s="4" customFormat="1" ht="12.95" customHeight="1">
      <c r="A38" s="98"/>
      <c r="B38" s="42" t="s">
        <v>48</v>
      </c>
      <c r="C38" s="44">
        <v>90</v>
      </c>
      <c r="D38" s="21"/>
      <c r="E38" s="85">
        <v>14.796663208366212</v>
      </c>
      <c r="F38" s="17">
        <f t="shared" si="0"/>
        <v>0</v>
      </c>
      <c r="G38" s="45"/>
    </row>
    <row r="39" spans="1:8" s="4" customFormat="1" ht="12.95" customHeight="1">
      <c r="A39" s="98"/>
      <c r="B39" s="42" t="s">
        <v>49</v>
      </c>
      <c r="C39" s="44">
        <v>476</v>
      </c>
      <c r="D39" s="21"/>
      <c r="E39" s="85">
        <v>73.426457495392555</v>
      </c>
      <c r="F39" s="17">
        <f t="shared" si="0"/>
        <v>0</v>
      </c>
      <c r="G39" s="46">
        <f>D39*6</f>
        <v>0</v>
      </c>
      <c r="H39" s="86"/>
    </row>
    <row r="40" spans="1:8" s="4" customFormat="1" ht="12.95" customHeight="1">
      <c r="A40" s="99"/>
      <c r="B40" s="47" t="s">
        <v>50</v>
      </c>
      <c r="C40" s="44">
        <v>80</v>
      </c>
      <c r="D40" s="21"/>
      <c r="E40" s="85">
        <v>73.531995302832129</v>
      </c>
      <c r="F40" s="17">
        <f t="shared" si="0"/>
        <v>0</v>
      </c>
      <c r="G40" s="46">
        <f>D40*6</f>
        <v>0</v>
      </c>
      <c r="H40" s="86"/>
    </row>
    <row r="41" spans="1:8" s="4" customFormat="1" ht="12.95" customHeight="1">
      <c r="A41" s="94" t="s">
        <v>51</v>
      </c>
      <c r="B41" s="19" t="s">
        <v>52</v>
      </c>
      <c r="C41" s="20">
        <v>7</v>
      </c>
      <c r="D41" s="21"/>
      <c r="E41" s="85">
        <v>21.854838499102936</v>
      </c>
      <c r="F41" s="17">
        <f t="shared" si="0"/>
        <v>0</v>
      </c>
      <c r="G41" s="48"/>
    </row>
    <row r="42" spans="1:8" s="4" customFormat="1" ht="12.95" customHeight="1">
      <c r="A42" s="100"/>
      <c r="B42" s="19" t="s">
        <v>53</v>
      </c>
      <c r="C42" s="20">
        <v>15</v>
      </c>
      <c r="D42" s="21"/>
      <c r="E42" s="85">
        <v>20.927900262897104</v>
      </c>
      <c r="F42" s="17">
        <f t="shared" si="0"/>
        <v>0</v>
      </c>
      <c r="G42" s="22"/>
    </row>
    <row r="43" spans="1:8" s="4" customFormat="1" ht="12.95" customHeight="1">
      <c r="A43" s="100"/>
      <c r="B43" s="23" t="s">
        <v>54</v>
      </c>
      <c r="C43" s="20">
        <v>73</v>
      </c>
      <c r="D43" s="21"/>
      <c r="E43" s="85">
        <v>38.825231327424902</v>
      </c>
      <c r="F43" s="17">
        <f t="shared" si="0"/>
        <v>0</v>
      </c>
      <c r="G43" s="22"/>
    </row>
    <row r="44" spans="1:8" s="4" customFormat="1" ht="12.95" customHeight="1">
      <c r="A44" s="100"/>
      <c r="B44" s="23" t="s">
        <v>55</v>
      </c>
      <c r="C44" s="20">
        <v>658</v>
      </c>
      <c r="D44" s="21"/>
      <c r="E44" s="85">
        <v>33.447162339842947</v>
      </c>
      <c r="F44" s="17">
        <f t="shared" si="0"/>
        <v>0</v>
      </c>
      <c r="G44" s="22"/>
    </row>
    <row r="45" spans="1:8" s="4" customFormat="1" ht="12.95" customHeight="1">
      <c r="A45" s="100"/>
      <c r="B45" s="49" t="s">
        <v>56</v>
      </c>
      <c r="C45" s="50">
        <v>728</v>
      </c>
      <c r="D45" s="51"/>
      <c r="E45" s="85">
        <v>28.015117517343374</v>
      </c>
      <c r="F45" s="17">
        <f t="shared" si="0"/>
        <v>0</v>
      </c>
      <c r="G45" s="22"/>
    </row>
    <row r="46" spans="1:8" s="4" customFormat="1" ht="12.95" customHeight="1">
      <c r="A46" s="95"/>
      <c r="B46" s="52" t="s">
        <v>57</v>
      </c>
      <c r="C46" s="20">
        <v>732</v>
      </c>
      <c r="D46" s="21"/>
      <c r="E46" s="85">
        <v>16.516568762592883</v>
      </c>
      <c r="F46" s="17">
        <f t="shared" si="0"/>
        <v>0</v>
      </c>
      <c r="G46" s="22"/>
    </row>
    <row r="47" spans="1:8" s="4" customFormat="1" ht="12.95" customHeight="1">
      <c r="A47" s="89" t="s">
        <v>58</v>
      </c>
      <c r="B47" s="37" t="s">
        <v>59</v>
      </c>
      <c r="C47" s="18">
        <v>590</v>
      </c>
      <c r="D47" s="21"/>
      <c r="E47" s="85">
        <v>37.489417490501509</v>
      </c>
      <c r="F47" s="17">
        <f t="shared" si="0"/>
        <v>0</v>
      </c>
      <c r="G47" s="22"/>
    </row>
    <row r="48" spans="1:8" s="4" customFormat="1" ht="12.95" customHeight="1">
      <c r="A48" s="90"/>
      <c r="B48" s="53" t="s">
        <v>60</v>
      </c>
      <c r="C48" s="54">
        <v>720</v>
      </c>
      <c r="D48" s="21"/>
      <c r="E48" s="85">
        <v>32.76</v>
      </c>
      <c r="F48" s="17">
        <f t="shared" si="0"/>
        <v>0</v>
      </c>
      <c r="G48" s="22"/>
    </row>
    <row r="49" spans="1:8" s="4" customFormat="1" ht="12.95" customHeight="1">
      <c r="A49" s="91" t="s">
        <v>61</v>
      </c>
      <c r="B49" s="25" t="s">
        <v>62</v>
      </c>
      <c r="C49" s="26">
        <v>24</v>
      </c>
      <c r="D49" s="21"/>
      <c r="E49" s="85">
        <v>241.16844899514362</v>
      </c>
      <c r="F49" s="17">
        <f t="shared" si="0"/>
        <v>0</v>
      </c>
      <c r="G49" s="22"/>
    </row>
    <row r="50" spans="1:8" s="4" customFormat="1" ht="12.95" customHeight="1">
      <c r="A50" s="92"/>
      <c r="B50" s="25" t="s">
        <v>63</v>
      </c>
      <c r="C50" s="26">
        <v>81</v>
      </c>
      <c r="D50" s="21"/>
      <c r="E50" s="85">
        <v>29.482810820346998</v>
      </c>
      <c r="F50" s="17">
        <f t="shared" si="0"/>
        <v>0</v>
      </c>
      <c r="G50" s="22"/>
    </row>
    <row r="51" spans="1:8" s="4" customFormat="1" ht="12.95" customHeight="1">
      <c r="A51" s="92"/>
      <c r="B51" s="25" t="s">
        <v>64</v>
      </c>
      <c r="C51" s="26">
        <v>25</v>
      </c>
      <c r="D51" s="21"/>
      <c r="E51" s="85">
        <v>232.9814950273817</v>
      </c>
      <c r="F51" s="17">
        <f t="shared" si="0"/>
        <v>0</v>
      </c>
      <c r="G51" s="22"/>
    </row>
    <row r="52" spans="1:8" s="4" customFormat="1" ht="12.95" customHeight="1">
      <c r="A52" s="92"/>
      <c r="B52" s="25" t="s">
        <v>65</v>
      </c>
      <c r="C52" s="26">
        <v>82</v>
      </c>
      <c r="D52" s="21"/>
      <c r="E52" s="85">
        <v>28.664115423570799</v>
      </c>
      <c r="F52" s="17">
        <f t="shared" si="0"/>
        <v>0</v>
      </c>
      <c r="G52" s="22"/>
    </row>
    <row r="53" spans="1:8" s="4" customFormat="1" ht="12.95" customHeight="1">
      <c r="A53" s="92"/>
      <c r="B53" s="25" t="s">
        <v>66</v>
      </c>
      <c r="C53" s="26">
        <v>503</v>
      </c>
      <c r="D53" s="21"/>
      <c r="E53" s="85">
        <v>13.898082242903302</v>
      </c>
      <c r="F53" s="17">
        <f t="shared" si="0"/>
        <v>0</v>
      </c>
      <c r="G53" s="22"/>
    </row>
    <row r="54" spans="1:8" s="4" customFormat="1" ht="12.95" customHeight="1">
      <c r="A54" s="92"/>
      <c r="B54" s="25" t="s">
        <v>67</v>
      </c>
      <c r="C54" s="26">
        <v>26</v>
      </c>
      <c r="D54" s="21"/>
      <c r="E54" s="85">
        <v>13.898082242903302</v>
      </c>
      <c r="F54" s="17">
        <f t="shared" si="0"/>
        <v>0</v>
      </c>
      <c r="G54" s="22"/>
    </row>
    <row r="55" spans="1:8" s="4" customFormat="1" ht="12.95" customHeight="1">
      <c r="A55" s="92"/>
      <c r="B55" s="25" t="s">
        <v>68</v>
      </c>
      <c r="C55" s="26">
        <v>27</v>
      </c>
      <c r="D55" s="21"/>
      <c r="E55" s="85">
        <v>14.039769064560671</v>
      </c>
      <c r="F55" s="17">
        <f t="shared" si="0"/>
        <v>0</v>
      </c>
      <c r="G55" s="22"/>
    </row>
    <row r="56" spans="1:8" s="4" customFormat="1" ht="12.95" customHeight="1">
      <c r="A56" s="92"/>
      <c r="B56" s="25" t="s">
        <v>69</v>
      </c>
      <c r="C56" s="26">
        <v>29</v>
      </c>
      <c r="D56" s="21"/>
      <c r="E56" s="85">
        <v>23.214927877073588</v>
      </c>
      <c r="F56" s="17">
        <f t="shared" si="0"/>
        <v>0</v>
      </c>
      <c r="G56" s="22"/>
    </row>
    <row r="57" spans="1:8" s="4" customFormat="1" ht="12.95" customHeight="1">
      <c r="A57" s="92"/>
      <c r="B57" s="25" t="s">
        <v>70</v>
      </c>
      <c r="C57" s="55">
        <v>79</v>
      </c>
      <c r="D57" s="21"/>
      <c r="E57" s="85">
        <v>213.0467087078942</v>
      </c>
      <c r="F57" s="17">
        <f t="shared" si="0"/>
        <v>0</v>
      </c>
      <c r="G57" s="22"/>
    </row>
    <row r="58" spans="1:8" s="4" customFormat="1" ht="12.95" customHeight="1">
      <c r="A58" s="92"/>
      <c r="B58" s="25" t="s">
        <v>71</v>
      </c>
      <c r="C58" s="26">
        <v>28</v>
      </c>
      <c r="D58" s="21"/>
      <c r="E58" s="85">
        <v>28.774189366346352</v>
      </c>
      <c r="F58" s="17">
        <f t="shared" si="0"/>
        <v>0</v>
      </c>
      <c r="G58" s="22"/>
    </row>
    <row r="59" spans="1:8" s="4" customFormat="1" ht="12.95" customHeight="1">
      <c r="A59" s="92"/>
      <c r="B59" s="56" t="s">
        <v>72</v>
      </c>
      <c r="C59" s="26">
        <v>509</v>
      </c>
      <c r="D59" s="21"/>
      <c r="E59" s="85">
        <v>34.79444146491457</v>
      </c>
      <c r="F59" s="17">
        <f t="shared" si="0"/>
        <v>0</v>
      </c>
      <c r="G59" s="22"/>
    </row>
    <row r="60" spans="1:8" s="4" customFormat="1" ht="12.95" customHeight="1">
      <c r="A60" s="93"/>
      <c r="B60" s="56" t="s">
        <v>73</v>
      </c>
      <c r="C60" s="26">
        <v>510</v>
      </c>
      <c r="D60" s="21"/>
      <c r="E60" s="85">
        <v>32.0934077288696</v>
      </c>
      <c r="F60" s="17">
        <f t="shared" si="0"/>
        <v>0</v>
      </c>
      <c r="G60" s="22"/>
    </row>
    <row r="61" spans="1:8" s="4" customFormat="1" ht="12.95" customHeight="1">
      <c r="A61" s="94" t="s">
        <v>74</v>
      </c>
      <c r="B61" s="23" t="s">
        <v>75</v>
      </c>
      <c r="C61" s="20">
        <v>37</v>
      </c>
      <c r="D61" s="21"/>
      <c r="E61" s="85">
        <v>29.413351938088255</v>
      </c>
      <c r="F61" s="17">
        <f t="shared" si="0"/>
        <v>0</v>
      </c>
      <c r="G61" s="22"/>
    </row>
    <row r="62" spans="1:8" s="4" customFormat="1" ht="12.95" customHeight="1">
      <c r="A62" s="95"/>
      <c r="B62" s="23" t="s">
        <v>76</v>
      </c>
      <c r="C62" s="20">
        <v>38</v>
      </c>
      <c r="D62" s="21"/>
      <c r="E62" s="85">
        <v>31.138843823679291</v>
      </c>
      <c r="F62" s="17">
        <f t="shared" si="0"/>
        <v>0</v>
      </c>
      <c r="G62" s="22"/>
    </row>
    <row r="63" spans="1:8" s="4" customFormat="1" ht="12.75" customHeight="1">
      <c r="A63" s="96" t="s">
        <v>105</v>
      </c>
      <c r="B63" s="14" t="s">
        <v>77</v>
      </c>
      <c r="C63" s="40">
        <v>55</v>
      </c>
      <c r="D63" s="21"/>
      <c r="E63" s="85">
        <v>147.56931346516933</v>
      </c>
      <c r="F63" s="17">
        <f t="shared" si="0"/>
        <v>0</v>
      </c>
      <c r="G63" s="58">
        <f>D63*6</f>
        <v>0</v>
      </c>
      <c r="H63" s="86"/>
    </row>
    <row r="64" spans="1:8" s="4" customFormat="1" ht="12" customHeight="1">
      <c r="A64" s="89"/>
      <c r="B64" s="57" t="s">
        <v>78</v>
      </c>
      <c r="C64" s="18">
        <v>56</v>
      </c>
      <c r="D64" s="21"/>
      <c r="E64" s="85">
        <v>140.52167676337149</v>
      </c>
      <c r="F64" s="17">
        <f t="shared" si="0"/>
        <v>0</v>
      </c>
      <c r="G64" s="58">
        <f>D64*6</f>
        <v>0</v>
      </c>
      <c r="H64" s="86"/>
    </row>
    <row r="65" spans="1:8" s="4" customFormat="1" ht="12" customHeight="1">
      <c r="A65" s="89"/>
      <c r="B65" s="57" t="s">
        <v>79</v>
      </c>
      <c r="C65" s="18">
        <v>58</v>
      </c>
      <c r="D65" s="21"/>
      <c r="E65" s="85">
        <v>136.49583175407204</v>
      </c>
      <c r="F65" s="17">
        <f t="shared" si="0"/>
        <v>0</v>
      </c>
      <c r="G65" s="58">
        <f t="shared" ref="G65:G72" si="1">D65*6</f>
        <v>0</v>
      </c>
      <c r="H65" s="86"/>
    </row>
    <row r="66" spans="1:8" s="4" customFormat="1" ht="12.95" customHeight="1">
      <c r="A66" s="89"/>
      <c r="B66" s="14" t="s">
        <v>80</v>
      </c>
      <c r="C66" s="40">
        <v>59</v>
      </c>
      <c r="D66" s="21"/>
      <c r="E66" s="85">
        <v>134.15662670137519</v>
      </c>
      <c r="F66" s="17">
        <f t="shared" si="0"/>
        <v>0</v>
      </c>
      <c r="G66" s="58">
        <f t="shared" si="1"/>
        <v>0</v>
      </c>
      <c r="H66" s="86"/>
    </row>
    <row r="67" spans="1:8" s="4" customFormat="1" ht="12.95" customHeight="1">
      <c r="A67" s="89"/>
      <c r="B67" s="14" t="s">
        <v>81</v>
      </c>
      <c r="C67" s="40">
        <v>60</v>
      </c>
      <c r="D67" s="21"/>
      <c r="E67" s="85">
        <v>152.64551324818237</v>
      </c>
      <c r="F67" s="17">
        <f t="shared" si="0"/>
        <v>0</v>
      </c>
      <c r="G67" s="58">
        <f t="shared" si="1"/>
        <v>0</v>
      </c>
      <c r="H67" s="86"/>
    </row>
    <row r="68" spans="1:8" s="4" customFormat="1" ht="12.95" customHeight="1">
      <c r="A68" s="89"/>
      <c r="B68" s="14" t="s">
        <v>82</v>
      </c>
      <c r="C68" s="40">
        <v>57</v>
      </c>
      <c r="D68" s="21"/>
      <c r="E68" s="85">
        <v>81.764757095051579</v>
      </c>
      <c r="F68" s="17">
        <f t="shared" si="0"/>
        <v>0</v>
      </c>
      <c r="G68" s="58">
        <f t="shared" si="1"/>
        <v>0</v>
      </c>
      <c r="H68" s="86"/>
    </row>
    <row r="69" spans="1:8" s="4" customFormat="1" ht="12.95" customHeight="1">
      <c r="A69" s="89"/>
      <c r="B69" s="14" t="s">
        <v>83</v>
      </c>
      <c r="C69" s="40">
        <v>61</v>
      </c>
      <c r="D69" s="21"/>
      <c r="E69" s="85">
        <v>106.61148293510117</v>
      </c>
      <c r="F69" s="17">
        <f t="shared" si="0"/>
        <v>0</v>
      </c>
      <c r="G69" s="58">
        <f t="shared" si="1"/>
        <v>0</v>
      </c>
      <c r="H69" s="86"/>
    </row>
    <row r="70" spans="1:8" s="4" customFormat="1" ht="12.95" customHeight="1">
      <c r="A70" s="89"/>
      <c r="B70" s="14" t="s">
        <v>84</v>
      </c>
      <c r="C70" s="40">
        <v>62</v>
      </c>
      <c r="D70" s="21"/>
      <c r="E70" s="85">
        <v>98.89401604111481</v>
      </c>
      <c r="F70" s="17">
        <f t="shared" si="0"/>
        <v>0</v>
      </c>
      <c r="G70" s="58">
        <f t="shared" si="1"/>
        <v>0</v>
      </c>
      <c r="H70" s="86"/>
    </row>
    <row r="71" spans="1:8" s="4" customFormat="1" ht="12.95" customHeight="1">
      <c r="A71" s="89"/>
      <c r="B71" s="14" t="s">
        <v>85</v>
      </c>
      <c r="C71" s="40">
        <v>63</v>
      </c>
      <c r="D71" s="21"/>
      <c r="E71" s="85">
        <v>97.463393040494836</v>
      </c>
      <c r="F71" s="17">
        <f t="shared" ref="F71:F80" si="2">E71*D71</f>
        <v>0</v>
      </c>
      <c r="G71" s="58">
        <f t="shared" si="1"/>
        <v>0</v>
      </c>
      <c r="H71" s="86"/>
    </row>
    <row r="72" spans="1:8" s="4" customFormat="1" ht="12.95" customHeight="1">
      <c r="A72" s="89"/>
      <c r="B72" s="14" t="s">
        <v>86</v>
      </c>
      <c r="C72" s="40">
        <v>448</v>
      </c>
      <c r="D72" s="21"/>
      <c r="E72" s="85">
        <v>77.218829247872407</v>
      </c>
      <c r="F72" s="17">
        <f t="shared" si="2"/>
        <v>0</v>
      </c>
      <c r="G72" s="58">
        <f t="shared" si="1"/>
        <v>0</v>
      </c>
      <c r="H72" s="86"/>
    </row>
    <row r="73" spans="1:8" s="4" customFormat="1" ht="12.95" customHeight="1">
      <c r="A73" s="97" t="s">
        <v>87</v>
      </c>
      <c r="B73" s="42" t="s">
        <v>88</v>
      </c>
      <c r="C73" s="43">
        <v>30</v>
      </c>
      <c r="D73" s="21"/>
      <c r="E73" s="85">
        <v>22.318520500162041</v>
      </c>
      <c r="F73" s="17">
        <f t="shared" si="2"/>
        <v>0</v>
      </c>
      <c r="G73" s="59"/>
    </row>
    <row r="74" spans="1:8" s="4" customFormat="1" ht="12.95" customHeight="1">
      <c r="A74" s="98"/>
      <c r="B74" s="60" t="s">
        <v>89</v>
      </c>
      <c r="C74" s="61">
        <v>454</v>
      </c>
      <c r="D74" s="21"/>
      <c r="E74" s="85">
        <v>45.492307643360526</v>
      </c>
      <c r="F74" s="17">
        <f t="shared" si="2"/>
        <v>0</v>
      </c>
      <c r="G74" s="59"/>
    </row>
    <row r="75" spans="1:8" s="4" customFormat="1" ht="12.95" customHeight="1">
      <c r="A75" s="98"/>
      <c r="B75" s="60" t="s">
        <v>90</v>
      </c>
      <c r="C75" s="44">
        <v>456</v>
      </c>
      <c r="D75" s="21"/>
      <c r="E75" s="85">
        <v>55.248308510975235</v>
      </c>
      <c r="F75" s="17">
        <f t="shared" si="2"/>
        <v>0</v>
      </c>
      <c r="G75" s="59"/>
    </row>
    <row r="76" spans="1:8" s="4" customFormat="1" ht="12.95" customHeight="1">
      <c r="A76" s="99"/>
      <c r="B76" s="60" t="s">
        <v>91</v>
      </c>
      <c r="C76" s="44">
        <v>455</v>
      </c>
      <c r="D76" s="7"/>
      <c r="E76" s="85">
        <v>39.920498944701194</v>
      </c>
      <c r="F76" s="17">
        <f t="shared" si="2"/>
        <v>0</v>
      </c>
      <c r="G76" s="59"/>
    </row>
    <row r="77" spans="1:8" s="4" customFormat="1" ht="12.95" customHeight="1">
      <c r="A77" s="94" t="s">
        <v>92</v>
      </c>
      <c r="B77" s="19" t="s">
        <v>93</v>
      </c>
      <c r="C77" s="20">
        <v>579</v>
      </c>
      <c r="D77" s="7"/>
      <c r="E77" s="85">
        <v>30.869481437532876</v>
      </c>
      <c r="F77" s="17">
        <f t="shared" si="2"/>
        <v>0</v>
      </c>
      <c r="G77" s="59"/>
    </row>
    <row r="78" spans="1:8" s="4" customFormat="1" ht="12.95" customHeight="1">
      <c r="A78" s="100"/>
      <c r="B78" s="19" t="s">
        <v>94</v>
      </c>
      <c r="C78" s="20">
        <v>580</v>
      </c>
      <c r="D78" s="7"/>
      <c r="E78" s="85">
        <v>33.653488412114406</v>
      </c>
      <c r="F78" s="17">
        <f t="shared" si="2"/>
        <v>0</v>
      </c>
      <c r="G78" s="59"/>
    </row>
    <row r="79" spans="1:8" s="4" customFormat="1" ht="12.95" customHeight="1">
      <c r="A79" s="100"/>
      <c r="B79" s="19" t="s">
        <v>95</v>
      </c>
      <c r="C79" s="20">
        <v>581</v>
      </c>
      <c r="D79" s="7"/>
      <c r="E79" s="85">
        <v>27.348367460471497</v>
      </c>
      <c r="F79" s="17">
        <f t="shared" si="2"/>
        <v>0</v>
      </c>
      <c r="G79" s="59"/>
    </row>
    <row r="80" spans="1:8" s="4" customFormat="1" ht="12.95" customHeight="1">
      <c r="A80" s="95"/>
      <c r="B80" s="19" t="s">
        <v>96</v>
      </c>
      <c r="C80" s="20">
        <v>678</v>
      </c>
      <c r="D80" s="7"/>
      <c r="E80" s="85">
        <v>47.042214648940202</v>
      </c>
      <c r="F80" s="17">
        <f t="shared" si="2"/>
        <v>0</v>
      </c>
      <c r="G80" s="59"/>
    </row>
    <row r="81" spans="1:7" s="4" customFormat="1" ht="13.5" customHeight="1">
      <c r="A81" s="101" t="s">
        <v>97</v>
      </c>
      <c r="B81" s="102"/>
      <c r="C81" s="62"/>
      <c r="D81" s="105" t="s">
        <v>98</v>
      </c>
      <c r="E81" s="106"/>
      <c r="F81" s="63">
        <f>SUM(F7:F80)</f>
        <v>0</v>
      </c>
      <c r="G81" s="64" t="s">
        <v>99</v>
      </c>
    </row>
    <row r="82" spans="1:7" s="4" customFormat="1" ht="15.95" customHeight="1">
      <c r="A82" s="103"/>
      <c r="B82" s="104"/>
      <c r="C82" s="65"/>
      <c r="D82" s="105" t="s">
        <v>100</v>
      </c>
      <c r="E82" s="106"/>
      <c r="F82" s="66"/>
      <c r="G82" s="67"/>
    </row>
    <row r="83" spans="1:7" s="4" customFormat="1" ht="15.95" customHeight="1">
      <c r="A83" s="107" t="s">
        <v>101</v>
      </c>
      <c r="B83" s="108"/>
      <c r="C83" s="65"/>
      <c r="D83" s="105" t="s">
        <v>102</v>
      </c>
      <c r="E83" s="106"/>
      <c r="F83" s="66"/>
      <c r="G83" s="68" t="e">
        <f>SUM(#REF!)</f>
        <v>#REF!</v>
      </c>
    </row>
    <row r="84" spans="1:7" s="4" customFormat="1" ht="15.95" customHeight="1">
      <c r="A84" s="109"/>
      <c r="B84" s="110"/>
      <c r="C84" s="65"/>
      <c r="D84" s="69"/>
      <c r="E84" s="69"/>
      <c r="F84" s="70"/>
      <c r="G84" s="71"/>
    </row>
    <row r="85" spans="1:7" s="4" customFormat="1" ht="15.95" customHeight="1">
      <c r="A85" s="111"/>
      <c r="B85" s="112"/>
      <c r="C85" s="65"/>
      <c r="D85" s="72"/>
      <c r="E85" s="72"/>
      <c r="F85" s="73"/>
      <c r="G85" s="71"/>
    </row>
    <row r="86" spans="1:7" s="4" customFormat="1" ht="15.95" customHeight="1" thickBot="1">
      <c r="A86" s="74"/>
      <c r="B86" s="75"/>
      <c r="C86" s="76"/>
      <c r="D86" s="87" t="s">
        <v>103</v>
      </c>
      <c r="E86" s="88"/>
      <c r="F86" s="77"/>
      <c r="G86" s="78"/>
    </row>
    <row r="87" spans="1:7" s="4" customFormat="1" ht="12.95" customHeight="1">
      <c r="A87" s="79"/>
      <c r="B87" s="80"/>
      <c r="C87" s="80"/>
      <c r="D87" s="80"/>
      <c r="E87" s="80"/>
      <c r="F87" s="80"/>
      <c r="G87" s="80"/>
    </row>
    <row r="88" spans="1:7" ht="15">
      <c r="A88" s="81"/>
      <c r="B88" s="81"/>
      <c r="C88" s="81"/>
      <c r="D88" s="81"/>
      <c r="E88" s="81"/>
      <c r="F88" s="81"/>
      <c r="G88" s="81"/>
    </row>
    <row r="90" spans="1:7" ht="15.6" customHeight="1">
      <c r="A90" s="83"/>
      <c r="B90" s="83"/>
    </row>
    <row r="91" spans="1:7" ht="15.6" customHeight="1">
      <c r="A91" s="83"/>
      <c r="B91" s="83"/>
    </row>
    <row r="92" spans="1:7" ht="15.6" customHeight="1">
      <c r="A92" s="83"/>
      <c r="B92" s="83"/>
    </row>
  </sheetData>
  <mergeCells count="25">
    <mergeCell ref="A41:A46"/>
    <mergeCell ref="A1:F1"/>
    <mergeCell ref="A3:B3"/>
    <mergeCell ref="A4:B4"/>
    <mergeCell ref="D4:F4"/>
    <mergeCell ref="A5:B5"/>
    <mergeCell ref="D5:F5"/>
    <mergeCell ref="C3:F3"/>
    <mergeCell ref="A7:A9"/>
    <mergeCell ref="A10:A15"/>
    <mergeCell ref="A16:A27"/>
    <mergeCell ref="A28:A34"/>
    <mergeCell ref="A35:A40"/>
    <mergeCell ref="D86:E86"/>
    <mergeCell ref="A47:A48"/>
    <mergeCell ref="A49:A60"/>
    <mergeCell ref="A61:A62"/>
    <mergeCell ref="A63:A72"/>
    <mergeCell ref="A73:A76"/>
    <mergeCell ref="A77:A80"/>
    <mergeCell ref="A81:B82"/>
    <mergeCell ref="D81:E81"/>
    <mergeCell ref="D82:E82"/>
    <mergeCell ref="A83:B85"/>
    <mergeCell ref="D83:E8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Nassif</dc:creator>
  <cp:lastModifiedBy>Lucas Martins</cp:lastModifiedBy>
  <dcterms:created xsi:type="dcterms:W3CDTF">2026-05-04T18:46:55Z</dcterms:created>
  <dcterms:modified xsi:type="dcterms:W3CDTF">2026-05-12T14:25:48Z</dcterms:modified>
</cp:coreProperties>
</file>